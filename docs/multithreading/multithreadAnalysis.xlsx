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hy\OneDrive\Documents\development\physics-testbed\docs\multithreading\"/>
    </mc:Choice>
  </mc:AlternateContent>
  <xr:revisionPtr revIDLastSave="0" documentId="13_ncr:1_{797ADDC5-73E4-4AFF-A518-B4FB77AEAEEC}" xr6:coauthVersionLast="47" xr6:coauthVersionMax="47" xr10:uidLastSave="{00000000-0000-0000-0000-000000000000}"/>
  <bookViews>
    <workbookView xWindow="9030" yWindow="1050" windowWidth="24600" windowHeight="13635" activeTab="1" xr2:uid="{3991F4E0-1CEC-4AA3-BC56-511E3C7A3B90}"/>
  </bookViews>
  <sheets>
    <sheet name="Singlethread" sheetId="1" r:id="rId1"/>
    <sheet name="Multithre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2" l="1"/>
  <c r="J33" i="2"/>
  <c r="I33" i="2"/>
  <c r="H33" i="2"/>
  <c r="K28" i="2"/>
  <c r="J28" i="2"/>
  <c r="I28" i="2"/>
  <c r="H28" i="2"/>
  <c r="K26" i="2"/>
  <c r="J26" i="2"/>
  <c r="I26" i="2"/>
  <c r="H26" i="2"/>
  <c r="K24" i="2"/>
  <c r="J24" i="2"/>
  <c r="I24" i="2"/>
  <c r="H24" i="2"/>
  <c r="K22" i="2"/>
  <c r="J22" i="2"/>
  <c r="I22" i="2"/>
  <c r="H22" i="2"/>
  <c r="K20" i="2"/>
  <c r="J20" i="2"/>
  <c r="I20" i="2"/>
  <c r="H20" i="2"/>
  <c r="K18" i="2"/>
  <c r="J18" i="2"/>
  <c r="I18" i="2"/>
  <c r="H18" i="2"/>
  <c r="K16" i="2"/>
  <c r="J16" i="2"/>
  <c r="I16" i="2"/>
  <c r="H16" i="2"/>
  <c r="K14" i="2"/>
  <c r="J14" i="2"/>
  <c r="I14" i="2"/>
  <c r="H14" i="2"/>
  <c r="K12" i="2"/>
  <c r="J12" i="2"/>
  <c r="I12" i="2"/>
  <c r="H12" i="2"/>
  <c r="K10" i="2"/>
  <c r="J10" i="2"/>
  <c r="I10" i="2"/>
  <c r="H10" i="2"/>
  <c r="K8" i="2"/>
  <c r="J8" i="2"/>
  <c r="I8" i="2"/>
  <c r="H8" i="2"/>
  <c r="K6" i="2"/>
  <c r="J6" i="2"/>
  <c r="I6" i="2"/>
  <c r="H6" i="2"/>
  <c r="K4" i="2"/>
  <c r="J4" i="2"/>
  <c r="I4" i="2"/>
  <c r="H4" i="2"/>
  <c r="I2" i="2"/>
  <c r="J2" i="2"/>
  <c r="K2" i="2"/>
  <c r="H2" i="2"/>
  <c r="K23" i="1"/>
  <c r="J23" i="1"/>
  <c r="I23" i="1"/>
  <c r="H23" i="1"/>
  <c r="K20" i="1"/>
  <c r="J20" i="1"/>
  <c r="I20" i="1"/>
  <c r="H20" i="1"/>
  <c r="K18" i="1"/>
  <c r="J18" i="1"/>
  <c r="I18" i="1"/>
  <c r="H18" i="1"/>
  <c r="K16" i="1"/>
  <c r="J16" i="1"/>
  <c r="I16" i="1"/>
  <c r="H16" i="1"/>
  <c r="K14" i="1"/>
  <c r="J14" i="1"/>
  <c r="I14" i="1"/>
  <c r="H14" i="1"/>
  <c r="K12" i="1"/>
  <c r="J12" i="1"/>
  <c r="I12" i="1"/>
  <c r="H12" i="1"/>
  <c r="K10" i="1"/>
  <c r="J10" i="1"/>
  <c r="I10" i="1"/>
  <c r="H10" i="1"/>
  <c r="K8" i="1"/>
  <c r="J8" i="1"/>
  <c r="I8" i="1"/>
  <c r="H8" i="1"/>
  <c r="K6" i="1"/>
  <c r="J6" i="1"/>
  <c r="I6" i="1"/>
  <c r="H6" i="1"/>
  <c r="K4" i="1"/>
  <c r="J4" i="1"/>
  <c r="I4" i="1"/>
  <c r="H4" i="1"/>
  <c r="I2" i="1"/>
  <c r="J2" i="1"/>
  <c r="K2" i="1"/>
  <c r="H2" i="1"/>
</calcChain>
</file>

<file path=xl/sharedStrings.xml><?xml version="1.0" encoding="utf-8"?>
<sst xmlns="http://schemas.openxmlformats.org/spreadsheetml/2006/main" count="20" uniqueCount="5">
  <si>
    <t>Physics Duration</t>
  </si>
  <si>
    <t>Enemies</t>
  </si>
  <si>
    <t>Frame Duration</t>
  </si>
  <si>
    <t>Logic Duration</t>
  </si>
  <si>
    <t>Render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</si>
</sst>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Game Performance vs Number of Enemies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Singlethread!$B$1</c:f>
              <c:strCache>
                <c:ptCount val="1"/>
                <c:pt idx="0">
                  <c:v>Frame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Singlethread!$A$2:$A$29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2200</c:v>
                </c:pt>
                <c:pt idx="22">
                  <c:v>2200</c:v>
                </c:pt>
                <c:pt idx="23">
                  <c:v>2400</c:v>
                </c:pt>
                <c:pt idx="24">
                  <c:v>2600</c:v>
                </c:pt>
                <c:pt idx="25">
                  <c:v>3000</c:v>
                </c:pt>
                <c:pt idx="26">
                  <c:v>3200</c:v>
                </c:pt>
                <c:pt idx="27">
                  <c:v>3400</c:v>
                </c:pt>
              </c:numCache>
            </c:numRef>
          </c:xVal>
          <c:yVal>
            <c:numRef>
              <c:f>Singlethread!$B$2:$B$29</c:f>
              <c:numCache>
                <c:formatCode>General</c:formatCode>
                <c:ptCount val="28"/>
                <c:pt idx="0">
                  <c:v>5.0999999999999996</c:v>
                </c:pt>
                <c:pt idx="1">
                  <c:v>16.54</c:v>
                </c:pt>
                <c:pt idx="2">
                  <c:v>16.72</c:v>
                </c:pt>
                <c:pt idx="3">
                  <c:v>16.61</c:v>
                </c:pt>
                <c:pt idx="4">
                  <c:v>16.48</c:v>
                </c:pt>
                <c:pt idx="5">
                  <c:v>16.63</c:v>
                </c:pt>
                <c:pt idx="6">
                  <c:v>16.5</c:v>
                </c:pt>
                <c:pt idx="7">
                  <c:v>17.18</c:v>
                </c:pt>
                <c:pt idx="8">
                  <c:v>16.87</c:v>
                </c:pt>
                <c:pt idx="9">
                  <c:v>16.510000000000002</c:v>
                </c:pt>
                <c:pt idx="10">
                  <c:v>16.73</c:v>
                </c:pt>
                <c:pt idx="11">
                  <c:v>16.64</c:v>
                </c:pt>
                <c:pt idx="12">
                  <c:v>16.75</c:v>
                </c:pt>
                <c:pt idx="13">
                  <c:v>16.670000000000002</c:v>
                </c:pt>
                <c:pt idx="14">
                  <c:v>16.68</c:v>
                </c:pt>
                <c:pt idx="15">
                  <c:v>17.05</c:v>
                </c:pt>
                <c:pt idx="16">
                  <c:v>17.600000000000001</c:v>
                </c:pt>
                <c:pt idx="17">
                  <c:v>17.12</c:v>
                </c:pt>
                <c:pt idx="18">
                  <c:v>20.100000000000001</c:v>
                </c:pt>
                <c:pt idx="19">
                  <c:v>20.14</c:v>
                </c:pt>
                <c:pt idx="20">
                  <c:v>25.08</c:v>
                </c:pt>
                <c:pt idx="21">
                  <c:v>28.02</c:v>
                </c:pt>
                <c:pt idx="22">
                  <c:v>27.65</c:v>
                </c:pt>
                <c:pt idx="23">
                  <c:v>31.08</c:v>
                </c:pt>
                <c:pt idx="24">
                  <c:v>35.19</c:v>
                </c:pt>
                <c:pt idx="25">
                  <c:v>47.6</c:v>
                </c:pt>
                <c:pt idx="26">
                  <c:v>49.51</c:v>
                </c:pt>
                <c:pt idx="27">
                  <c:v>53.69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1-441D-AAEB-665A99B210BB}"/>
            </c:ext>
          </c:extLst>
        </c:ser>
        <c:ser>
          <c:idx val="1"/>
          <c:order val="1"/>
          <c:tx>
            <c:strRef>
              <c:f>Singlethread!$C$1</c:f>
              <c:strCache>
                <c:ptCount val="1"/>
                <c:pt idx="0">
                  <c:v>Logic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Singlethread!$A$2:$A$29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2200</c:v>
                </c:pt>
                <c:pt idx="22">
                  <c:v>2200</c:v>
                </c:pt>
                <c:pt idx="23">
                  <c:v>2400</c:v>
                </c:pt>
                <c:pt idx="24">
                  <c:v>2600</c:v>
                </c:pt>
                <c:pt idx="25">
                  <c:v>3000</c:v>
                </c:pt>
                <c:pt idx="26">
                  <c:v>3200</c:v>
                </c:pt>
                <c:pt idx="27">
                  <c:v>3400</c:v>
                </c:pt>
              </c:numCache>
            </c:numRef>
          </c:xVal>
          <c:yVal>
            <c:numRef>
              <c:f>Singlethread!$C$2:$C$29</c:f>
              <c:numCache>
                <c:formatCode>General</c:formatCode>
                <c:ptCount val="28"/>
                <c:pt idx="0">
                  <c:v>0.01</c:v>
                </c:pt>
                <c:pt idx="1">
                  <c:v>0.01</c:v>
                </c:pt>
                <c:pt idx="2">
                  <c:v>0.48</c:v>
                </c:pt>
                <c:pt idx="3">
                  <c:v>7.0000000000000007E-2</c:v>
                </c:pt>
                <c:pt idx="4">
                  <c:v>1.17</c:v>
                </c:pt>
                <c:pt idx="5">
                  <c:v>0.03</c:v>
                </c:pt>
                <c:pt idx="6">
                  <c:v>1.07</c:v>
                </c:pt>
                <c:pt idx="7">
                  <c:v>0.05</c:v>
                </c:pt>
                <c:pt idx="8">
                  <c:v>0.73</c:v>
                </c:pt>
                <c:pt idx="9">
                  <c:v>0.04</c:v>
                </c:pt>
                <c:pt idx="10">
                  <c:v>0.52</c:v>
                </c:pt>
                <c:pt idx="11">
                  <c:v>0.05</c:v>
                </c:pt>
                <c:pt idx="12">
                  <c:v>0.59</c:v>
                </c:pt>
                <c:pt idx="13">
                  <c:v>0.06</c:v>
                </c:pt>
                <c:pt idx="14">
                  <c:v>0.62</c:v>
                </c:pt>
                <c:pt idx="15">
                  <c:v>7.0000000000000007E-2</c:v>
                </c:pt>
                <c:pt idx="16">
                  <c:v>0.6</c:v>
                </c:pt>
                <c:pt idx="17">
                  <c:v>0.09</c:v>
                </c:pt>
                <c:pt idx="18">
                  <c:v>0.08</c:v>
                </c:pt>
                <c:pt idx="19">
                  <c:v>0.09</c:v>
                </c:pt>
                <c:pt idx="20">
                  <c:v>0.11</c:v>
                </c:pt>
                <c:pt idx="21">
                  <c:v>0.7</c:v>
                </c:pt>
                <c:pt idx="22">
                  <c:v>0.12</c:v>
                </c:pt>
                <c:pt idx="23">
                  <c:v>0.15</c:v>
                </c:pt>
                <c:pt idx="24">
                  <c:v>0.16</c:v>
                </c:pt>
                <c:pt idx="25">
                  <c:v>0.89</c:v>
                </c:pt>
                <c:pt idx="26">
                  <c:v>0.22</c:v>
                </c:pt>
                <c:pt idx="27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A1-441D-AAEB-665A99B210BB}"/>
            </c:ext>
          </c:extLst>
        </c:ser>
        <c:ser>
          <c:idx val="2"/>
          <c:order val="2"/>
          <c:tx>
            <c:strRef>
              <c:f>Singlethread!$D$1</c:f>
              <c:strCache>
                <c:ptCount val="1"/>
                <c:pt idx="0">
                  <c:v>Physics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Singlethread!$A$2:$A$29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2200</c:v>
                </c:pt>
                <c:pt idx="22">
                  <c:v>2200</c:v>
                </c:pt>
                <c:pt idx="23">
                  <c:v>2400</c:v>
                </c:pt>
                <c:pt idx="24">
                  <c:v>2600</c:v>
                </c:pt>
                <c:pt idx="25">
                  <c:v>3000</c:v>
                </c:pt>
                <c:pt idx="26">
                  <c:v>3200</c:v>
                </c:pt>
                <c:pt idx="27">
                  <c:v>3400</c:v>
                </c:pt>
              </c:numCache>
            </c:numRef>
          </c:xVal>
          <c:yVal>
            <c:numRef>
              <c:f>Singlethread!$D$2:$D$29</c:f>
              <c:numCache>
                <c:formatCode>General</c:formatCode>
                <c:ptCount val="28"/>
                <c:pt idx="0">
                  <c:v>0.02</c:v>
                </c:pt>
                <c:pt idx="1">
                  <c:v>0.18</c:v>
                </c:pt>
                <c:pt idx="2">
                  <c:v>1.82</c:v>
                </c:pt>
                <c:pt idx="3">
                  <c:v>2.4900000000000002</c:v>
                </c:pt>
                <c:pt idx="4">
                  <c:v>3.88</c:v>
                </c:pt>
                <c:pt idx="5">
                  <c:v>2.2200000000000002</c:v>
                </c:pt>
                <c:pt idx="6">
                  <c:v>5.95</c:v>
                </c:pt>
                <c:pt idx="7">
                  <c:v>4.59</c:v>
                </c:pt>
                <c:pt idx="8">
                  <c:v>6.04</c:v>
                </c:pt>
                <c:pt idx="9">
                  <c:v>5.45</c:v>
                </c:pt>
                <c:pt idx="10">
                  <c:v>8.1999999999999993</c:v>
                </c:pt>
                <c:pt idx="11">
                  <c:v>7.83</c:v>
                </c:pt>
                <c:pt idx="12">
                  <c:v>10.39</c:v>
                </c:pt>
                <c:pt idx="13">
                  <c:v>10.74</c:v>
                </c:pt>
                <c:pt idx="14">
                  <c:v>13.74</c:v>
                </c:pt>
                <c:pt idx="15">
                  <c:v>12.84</c:v>
                </c:pt>
                <c:pt idx="16">
                  <c:v>16.39</c:v>
                </c:pt>
                <c:pt idx="17">
                  <c:v>16.329999999999998</c:v>
                </c:pt>
                <c:pt idx="18">
                  <c:v>19.32</c:v>
                </c:pt>
                <c:pt idx="19">
                  <c:v>19.32</c:v>
                </c:pt>
                <c:pt idx="20">
                  <c:v>24.19</c:v>
                </c:pt>
                <c:pt idx="21">
                  <c:v>26.26</c:v>
                </c:pt>
                <c:pt idx="22">
                  <c:v>26.72</c:v>
                </c:pt>
                <c:pt idx="23">
                  <c:v>30.09</c:v>
                </c:pt>
                <c:pt idx="24">
                  <c:v>33.950000000000003</c:v>
                </c:pt>
                <c:pt idx="25">
                  <c:v>45.69</c:v>
                </c:pt>
                <c:pt idx="26">
                  <c:v>47.91</c:v>
                </c:pt>
                <c:pt idx="27">
                  <c:v>52.34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A1-441D-AAEB-665A99B210BB}"/>
            </c:ext>
          </c:extLst>
        </c:ser>
        <c:ser>
          <c:idx val="3"/>
          <c:order val="3"/>
          <c:tx>
            <c:strRef>
              <c:f>Singlethread!$E$1</c:f>
              <c:strCache>
                <c:ptCount val="1"/>
                <c:pt idx="0">
                  <c:v>Render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Singlethread!$A$2:$A$29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2200</c:v>
                </c:pt>
                <c:pt idx="22">
                  <c:v>2200</c:v>
                </c:pt>
                <c:pt idx="23">
                  <c:v>2400</c:v>
                </c:pt>
                <c:pt idx="24">
                  <c:v>2600</c:v>
                </c:pt>
                <c:pt idx="25">
                  <c:v>3000</c:v>
                </c:pt>
                <c:pt idx="26">
                  <c:v>3200</c:v>
                </c:pt>
                <c:pt idx="27">
                  <c:v>3400</c:v>
                </c:pt>
              </c:numCache>
            </c:numRef>
          </c:xVal>
          <c:yVal>
            <c:numRef>
              <c:f>Singlethread!$E$2:$E$29</c:f>
              <c:numCache>
                <c:formatCode>General</c:formatCode>
                <c:ptCount val="28"/>
                <c:pt idx="0">
                  <c:v>5.07</c:v>
                </c:pt>
                <c:pt idx="1">
                  <c:v>16.350000000000001</c:v>
                </c:pt>
                <c:pt idx="2">
                  <c:v>14.42</c:v>
                </c:pt>
                <c:pt idx="3">
                  <c:v>14.05</c:v>
                </c:pt>
                <c:pt idx="4">
                  <c:v>11.43</c:v>
                </c:pt>
                <c:pt idx="5">
                  <c:v>14.38</c:v>
                </c:pt>
                <c:pt idx="6">
                  <c:v>9.48</c:v>
                </c:pt>
                <c:pt idx="7">
                  <c:v>12.54</c:v>
                </c:pt>
                <c:pt idx="8">
                  <c:v>10.1</c:v>
                </c:pt>
                <c:pt idx="9">
                  <c:v>11.02</c:v>
                </c:pt>
                <c:pt idx="10">
                  <c:v>8.01</c:v>
                </c:pt>
                <c:pt idx="11">
                  <c:v>8.77</c:v>
                </c:pt>
                <c:pt idx="12">
                  <c:v>5.77</c:v>
                </c:pt>
                <c:pt idx="13">
                  <c:v>5.87</c:v>
                </c:pt>
                <c:pt idx="14">
                  <c:v>2.3199999999999998</c:v>
                </c:pt>
                <c:pt idx="15">
                  <c:v>4.1399999999999997</c:v>
                </c:pt>
                <c:pt idx="16">
                  <c:v>0.6</c:v>
                </c:pt>
                <c:pt idx="17">
                  <c:v>0.69</c:v>
                </c:pt>
                <c:pt idx="18">
                  <c:v>0.7</c:v>
                </c:pt>
                <c:pt idx="19">
                  <c:v>0.73</c:v>
                </c:pt>
                <c:pt idx="20">
                  <c:v>0.78</c:v>
                </c:pt>
                <c:pt idx="21">
                  <c:v>1.06</c:v>
                </c:pt>
                <c:pt idx="22">
                  <c:v>0.81</c:v>
                </c:pt>
                <c:pt idx="23">
                  <c:v>0.83</c:v>
                </c:pt>
                <c:pt idx="24">
                  <c:v>1.08</c:v>
                </c:pt>
                <c:pt idx="25">
                  <c:v>1.01</c:v>
                </c:pt>
                <c:pt idx="26">
                  <c:v>1.38</c:v>
                </c:pt>
                <c:pt idx="27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A1-441D-AAEB-665A99B21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316703"/>
        <c:axId val="534333503"/>
      </c:scatterChart>
      <c:valAx>
        <c:axId val="53431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 of Enemies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33503"/>
        <c:crosses val="autoZero"/>
        <c:crossBetween val="midCat"/>
      </c:valAx>
      <c:valAx>
        <c:axId val="53433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Latency per Update Cycle (ms)</a:t>
                </a:r>
              </a:p>
            </c:rich>
          </c:tx>
          <c:layout>
            <c:manualLayout>
              <c:xMode val="edge"/>
              <c:yMode val="edge"/>
              <c:x val="4.594594562001883E-3"/>
              <c:y val="0.3023097686184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1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Game Update Cycle Latency vs Number of Enemies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Singlethread!$B$1</c:f>
              <c:strCache>
                <c:ptCount val="1"/>
                <c:pt idx="0">
                  <c:v>Frame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Singlethread!$A$2:$A$29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2200</c:v>
                </c:pt>
                <c:pt idx="22">
                  <c:v>2200</c:v>
                </c:pt>
                <c:pt idx="23">
                  <c:v>2400</c:v>
                </c:pt>
                <c:pt idx="24">
                  <c:v>2600</c:v>
                </c:pt>
                <c:pt idx="25">
                  <c:v>3000</c:v>
                </c:pt>
                <c:pt idx="26">
                  <c:v>3200</c:v>
                </c:pt>
                <c:pt idx="27">
                  <c:v>3400</c:v>
                </c:pt>
              </c:numCache>
            </c:numRef>
          </c:xVal>
          <c:yVal>
            <c:numRef>
              <c:f>Singlethread!$H$2:$H$29</c:f>
              <c:numCache>
                <c:formatCode>General</c:formatCode>
                <c:ptCount val="28"/>
                <c:pt idx="0">
                  <c:v>10.82</c:v>
                </c:pt>
                <c:pt idx="2">
                  <c:v>16.664999999999999</c:v>
                </c:pt>
                <c:pt idx="4">
                  <c:v>16.555</c:v>
                </c:pt>
                <c:pt idx="6">
                  <c:v>16.84</c:v>
                </c:pt>
                <c:pt idx="8">
                  <c:v>16.690000000000001</c:v>
                </c:pt>
                <c:pt idx="10">
                  <c:v>16.685000000000002</c:v>
                </c:pt>
                <c:pt idx="12">
                  <c:v>16.71</c:v>
                </c:pt>
                <c:pt idx="14">
                  <c:v>16.865000000000002</c:v>
                </c:pt>
                <c:pt idx="16">
                  <c:v>17.36</c:v>
                </c:pt>
                <c:pt idx="18">
                  <c:v>20.12</c:v>
                </c:pt>
                <c:pt idx="20">
                  <c:v>25.08</c:v>
                </c:pt>
                <c:pt idx="21">
                  <c:v>27.835000000000001</c:v>
                </c:pt>
                <c:pt idx="23">
                  <c:v>31.08</c:v>
                </c:pt>
                <c:pt idx="24">
                  <c:v>35.19</c:v>
                </c:pt>
                <c:pt idx="25">
                  <c:v>47.6</c:v>
                </c:pt>
                <c:pt idx="26">
                  <c:v>49.51</c:v>
                </c:pt>
                <c:pt idx="27">
                  <c:v>53.69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82-44B4-9F8E-36E6F7E28609}"/>
            </c:ext>
          </c:extLst>
        </c:ser>
        <c:ser>
          <c:idx val="1"/>
          <c:order val="1"/>
          <c:tx>
            <c:strRef>
              <c:f>Singlethread!$C$1</c:f>
              <c:strCache>
                <c:ptCount val="1"/>
                <c:pt idx="0">
                  <c:v>Logic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Singlethread!$A$2:$A$29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2200</c:v>
                </c:pt>
                <c:pt idx="22">
                  <c:v>2200</c:v>
                </c:pt>
                <c:pt idx="23">
                  <c:v>2400</c:v>
                </c:pt>
                <c:pt idx="24">
                  <c:v>2600</c:v>
                </c:pt>
                <c:pt idx="25">
                  <c:v>3000</c:v>
                </c:pt>
                <c:pt idx="26">
                  <c:v>3200</c:v>
                </c:pt>
                <c:pt idx="27">
                  <c:v>3400</c:v>
                </c:pt>
              </c:numCache>
            </c:numRef>
          </c:xVal>
          <c:yVal>
            <c:numRef>
              <c:f>Singlethread!$I$2:$I$29</c:f>
              <c:numCache>
                <c:formatCode>General</c:formatCode>
                <c:ptCount val="28"/>
                <c:pt idx="0">
                  <c:v>0.01</c:v>
                </c:pt>
                <c:pt idx="2">
                  <c:v>0.27500000000000002</c:v>
                </c:pt>
                <c:pt idx="4">
                  <c:v>0.6</c:v>
                </c:pt>
                <c:pt idx="6">
                  <c:v>0.56000000000000005</c:v>
                </c:pt>
                <c:pt idx="8">
                  <c:v>0.38500000000000001</c:v>
                </c:pt>
                <c:pt idx="10">
                  <c:v>0.28500000000000003</c:v>
                </c:pt>
                <c:pt idx="12">
                  <c:v>0.32499999999999996</c:v>
                </c:pt>
                <c:pt idx="14">
                  <c:v>0.34499999999999997</c:v>
                </c:pt>
                <c:pt idx="16">
                  <c:v>0.34499999999999997</c:v>
                </c:pt>
                <c:pt idx="18">
                  <c:v>8.4999999999999992E-2</c:v>
                </c:pt>
                <c:pt idx="20">
                  <c:v>0.11</c:v>
                </c:pt>
                <c:pt idx="21">
                  <c:v>0.41</c:v>
                </c:pt>
                <c:pt idx="23">
                  <c:v>0.15</c:v>
                </c:pt>
                <c:pt idx="24">
                  <c:v>0.16</c:v>
                </c:pt>
                <c:pt idx="25">
                  <c:v>0.89</c:v>
                </c:pt>
                <c:pt idx="26">
                  <c:v>0.22</c:v>
                </c:pt>
                <c:pt idx="27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82-44B4-9F8E-36E6F7E28609}"/>
            </c:ext>
          </c:extLst>
        </c:ser>
        <c:ser>
          <c:idx val="2"/>
          <c:order val="2"/>
          <c:tx>
            <c:strRef>
              <c:f>Singlethread!$D$1</c:f>
              <c:strCache>
                <c:ptCount val="1"/>
                <c:pt idx="0">
                  <c:v>Physics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3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Singlethread!$A$2:$A$29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2200</c:v>
                </c:pt>
                <c:pt idx="22">
                  <c:v>2200</c:v>
                </c:pt>
                <c:pt idx="23">
                  <c:v>2400</c:v>
                </c:pt>
                <c:pt idx="24">
                  <c:v>2600</c:v>
                </c:pt>
                <c:pt idx="25">
                  <c:v>3000</c:v>
                </c:pt>
                <c:pt idx="26">
                  <c:v>3200</c:v>
                </c:pt>
                <c:pt idx="27">
                  <c:v>3400</c:v>
                </c:pt>
              </c:numCache>
            </c:numRef>
          </c:xVal>
          <c:yVal>
            <c:numRef>
              <c:f>Singlethread!$J$2:$J$29</c:f>
              <c:numCache>
                <c:formatCode>General</c:formatCode>
                <c:ptCount val="28"/>
                <c:pt idx="0">
                  <c:v>9.9999999999999992E-2</c:v>
                </c:pt>
                <c:pt idx="2">
                  <c:v>2.1550000000000002</c:v>
                </c:pt>
                <c:pt idx="4">
                  <c:v>3.05</c:v>
                </c:pt>
                <c:pt idx="6">
                  <c:v>5.27</c:v>
                </c:pt>
                <c:pt idx="8">
                  <c:v>5.7450000000000001</c:v>
                </c:pt>
                <c:pt idx="10">
                  <c:v>8.0150000000000006</c:v>
                </c:pt>
                <c:pt idx="12">
                  <c:v>10.565000000000001</c:v>
                </c:pt>
                <c:pt idx="14">
                  <c:v>13.29</c:v>
                </c:pt>
                <c:pt idx="16">
                  <c:v>16.36</c:v>
                </c:pt>
                <c:pt idx="18">
                  <c:v>19.32</c:v>
                </c:pt>
                <c:pt idx="20">
                  <c:v>24.19</c:v>
                </c:pt>
                <c:pt idx="21">
                  <c:v>26.490000000000002</c:v>
                </c:pt>
                <c:pt idx="23">
                  <c:v>30.09</c:v>
                </c:pt>
                <c:pt idx="24">
                  <c:v>33.950000000000003</c:v>
                </c:pt>
                <c:pt idx="25">
                  <c:v>45.69</c:v>
                </c:pt>
                <c:pt idx="26">
                  <c:v>47.91</c:v>
                </c:pt>
                <c:pt idx="27">
                  <c:v>52.34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82-44B4-9F8E-36E6F7E28609}"/>
            </c:ext>
          </c:extLst>
        </c:ser>
        <c:ser>
          <c:idx val="3"/>
          <c:order val="3"/>
          <c:tx>
            <c:strRef>
              <c:f>Singlethread!$E$1</c:f>
              <c:strCache>
                <c:ptCount val="1"/>
                <c:pt idx="0">
                  <c:v>Render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4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Singlethread!$A$2:$A$29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2200</c:v>
                </c:pt>
                <c:pt idx="22">
                  <c:v>2200</c:v>
                </c:pt>
                <c:pt idx="23">
                  <c:v>2400</c:v>
                </c:pt>
                <c:pt idx="24">
                  <c:v>2600</c:v>
                </c:pt>
                <c:pt idx="25">
                  <c:v>3000</c:v>
                </c:pt>
                <c:pt idx="26">
                  <c:v>3200</c:v>
                </c:pt>
                <c:pt idx="27">
                  <c:v>3400</c:v>
                </c:pt>
              </c:numCache>
            </c:numRef>
          </c:xVal>
          <c:yVal>
            <c:numRef>
              <c:f>Singlethread!$K$2:$K$29</c:f>
              <c:numCache>
                <c:formatCode>General</c:formatCode>
                <c:ptCount val="28"/>
                <c:pt idx="0">
                  <c:v>10.71</c:v>
                </c:pt>
                <c:pt idx="2">
                  <c:v>14.234999999999999</c:v>
                </c:pt>
                <c:pt idx="4">
                  <c:v>12.905000000000001</c:v>
                </c:pt>
                <c:pt idx="6">
                  <c:v>11.01</c:v>
                </c:pt>
                <c:pt idx="8">
                  <c:v>10.559999999999999</c:v>
                </c:pt>
                <c:pt idx="10">
                  <c:v>8.39</c:v>
                </c:pt>
                <c:pt idx="12">
                  <c:v>5.82</c:v>
                </c:pt>
                <c:pt idx="14">
                  <c:v>3.2299999999999995</c:v>
                </c:pt>
                <c:pt idx="16">
                  <c:v>0.64500000000000002</c:v>
                </c:pt>
                <c:pt idx="18">
                  <c:v>0.71499999999999997</c:v>
                </c:pt>
                <c:pt idx="20">
                  <c:v>0.78</c:v>
                </c:pt>
                <c:pt idx="21">
                  <c:v>0.93500000000000005</c:v>
                </c:pt>
                <c:pt idx="23">
                  <c:v>0.83</c:v>
                </c:pt>
                <c:pt idx="24">
                  <c:v>1.08</c:v>
                </c:pt>
                <c:pt idx="25">
                  <c:v>1.01</c:v>
                </c:pt>
                <c:pt idx="26">
                  <c:v>1.38</c:v>
                </c:pt>
                <c:pt idx="27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82-44B4-9F8E-36E6F7E28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316703"/>
        <c:axId val="534333503"/>
      </c:scatterChart>
      <c:valAx>
        <c:axId val="534316703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 of Enemies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33503"/>
        <c:crosses val="autoZero"/>
        <c:crossBetween val="midCat"/>
      </c:valAx>
      <c:valAx>
        <c:axId val="53433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Latency per Update Cycle (ms)</a:t>
                </a:r>
              </a:p>
            </c:rich>
          </c:tx>
          <c:layout>
            <c:manualLayout>
              <c:xMode val="edge"/>
              <c:yMode val="edge"/>
              <c:x val="4.594594562001883E-3"/>
              <c:y val="0.3023097686184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1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Game Update Cycle Latency vs Number of Enemies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Multithread!$B$1</c:f>
              <c:strCache>
                <c:ptCount val="1"/>
                <c:pt idx="0">
                  <c:v>Frame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Multithread!$A$2:$A$40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2000</c:v>
                </c:pt>
                <c:pt idx="22">
                  <c:v>2200</c:v>
                </c:pt>
                <c:pt idx="23">
                  <c:v>2200</c:v>
                </c:pt>
                <c:pt idx="24">
                  <c:v>2400</c:v>
                </c:pt>
                <c:pt idx="25">
                  <c:v>2400</c:v>
                </c:pt>
                <c:pt idx="26">
                  <c:v>2600</c:v>
                </c:pt>
                <c:pt idx="27">
                  <c:v>2600</c:v>
                </c:pt>
                <c:pt idx="28">
                  <c:v>2800</c:v>
                </c:pt>
                <c:pt idx="29">
                  <c:v>2800</c:v>
                </c:pt>
                <c:pt idx="30">
                  <c:v>3000</c:v>
                </c:pt>
                <c:pt idx="31">
                  <c:v>3200</c:v>
                </c:pt>
                <c:pt idx="32">
                  <c:v>3200</c:v>
                </c:pt>
                <c:pt idx="33">
                  <c:v>3400</c:v>
                </c:pt>
                <c:pt idx="34">
                  <c:v>3600</c:v>
                </c:pt>
                <c:pt idx="35">
                  <c:v>3800</c:v>
                </c:pt>
                <c:pt idx="36">
                  <c:v>4000</c:v>
                </c:pt>
                <c:pt idx="37">
                  <c:v>4200</c:v>
                </c:pt>
                <c:pt idx="38">
                  <c:v>4400</c:v>
                </c:pt>
              </c:numCache>
            </c:numRef>
          </c:xVal>
          <c:yVal>
            <c:numRef>
              <c:f>Multithread!$H$2:$H$40</c:f>
              <c:numCache>
                <c:formatCode>General</c:formatCode>
                <c:ptCount val="39"/>
                <c:pt idx="0">
                  <c:v>10.095000000000001</c:v>
                </c:pt>
                <c:pt idx="2">
                  <c:v>16.755000000000003</c:v>
                </c:pt>
                <c:pt idx="4">
                  <c:v>16.695</c:v>
                </c:pt>
                <c:pt idx="6">
                  <c:v>16.59</c:v>
                </c:pt>
                <c:pt idx="8">
                  <c:v>16.66</c:v>
                </c:pt>
                <c:pt idx="10">
                  <c:v>16.57</c:v>
                </c:pt>
                <c:pt idx="12">
                  <c:v>16.685000000000002</c:v>
                </c:pt>
                <c:pt idx="14">
                  <c:v>16.625</c:v>
                </c:pt>
                <c:pt idx="16">
                  <c:v>16.850000000000001</c:v>
                </c:pt>
                <c:pt idx="18">
                  <c:v>16.675000000000001</c:v>
                </c:pt>
                <c:pt idx="20">
                  <c:v>17.024999999999999</c:v>
                </c:pt>
                <c:pt idx="22">
                  <c:v>16.79</c:v>
                </c:pt>
                <c:pt idx="24">
                  <c:v>16.68</c:v>
                </c:pt>
                <c:pt idx="26">
                  <c:v>16.86</c:v>
                </c:pt>
                <c:pt idx="28">
                  <c:v>16.670000000000002</c:v>
                </c:pt>
                <c:pt idx="30">
                  <c:v>20.57</c:v>
                </c:pt>
                <c:pt idx="31">
                  <c:v>22.445</c:v>
                </c:pt>
                <c:pt idx="33">
                  <c:v>24.66</c:v>
                </c:pt>
                <c:pt idx="34">
                  <c:v>27.71</c:v>
                </c:pt>
                <c:pt idx="35">
                  <c:v>30.23</c:v>
                </c:pt>
                <c:pt idx="36">
                  <c:v>34.39</c:v>
                </c:pt>
                <c:pt idx="37">
                  <c:v>36.619999999999997</c:v>
                </c:pt>
                <c:pt idx="38">
                  <c:v>43.92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5B-4711-9624-B45C7761E149}"/>
            </c:ext>
          </c:extLst>
        </c:ser>
        <c:ser>
          <c:idx val="1"/>
          <c:order val="1"/>
          <c:tx>
            <c:strRef>
              <c:f>Multithread!$C$1</c:f>
              <c:strCache>
                <c:ptCount val="1"/>
                <c:pt idx="0">
                  <c:v>Logic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Multithread!$A$2:$A$40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2000</c:v>
                </c:pt>
                <c:pt idx="22">
                  <c:v>2200</c:v>
                </c:pt>
                <c:pt idx="23">
                  <c:v>2200</c:v>
                </c:pt>
                <c:pt idx="24">
                  <c:v>2400</c:v>
                </c:pt>
                <c:pt idx="25">
                  <c:v>2400</c:v>
                </c:pt>
                <c:pt idx="26">
                  <c:v>2600</c:v>
                </c:pt>
                <c:pt idx="27">
                  <c:v>2600</c:v>
                </c:pt>
                <c:pt idx="28">
                  <c:v>2800</c:v>
                </c:pt>
                <c:pt idx="29">
                  <c:v>2800</c:v>
                </c:pt>
                <c:pt idx="30">
                  <c:v>3000</c:v>
                </c:pt>
                <c:pt idx="31">
                  <c:v>3200</c:v>
                </c:pt>
                <c:pt idx="32">
                  <c:v>3200</c:v>
                </c:pt>
                <c:pt idx="33">
                  <c:v>3400</c:v>
                </c:pt>
                <c:pt idx="34">
                  <c:v>3600</c:v>
                </c:pt>
                <c:pt idx="35">
                  <c:v>3800</c:v>
                </c:pt>
                <c:pt idx="36">
                  <c:v>4000</c:v>
                </c:pt>
                <c:pt idx="37">
                  <c:v>4200</c:v>
                </c:pt>
                <c:pt idx="38">
                  <c:v>4400</c:v>
                </c:pt>
              </c:numCache>
            </c:numRef>
          </c:xVal>
          <c:yVal>
            <c:numRef>
              <c:f>Multithread!$I$2:$I$40</c:f>
              <c:numCache>
                <c:formatCode>General</c:formatCode>
                <c:ptCount val="39"/>
                <c:pt idx="0">
                  <c:v>0.01</c:v>
                </c:pt>
                <c:pt idx="2">
                  <c:v>1.4999999999999999E-2</c:v>
                </c:pt>
                <c:pt idx="4">
                  <c:v>0.03</c:v>
                </c:pt>
                <c:pt idx="6">
                  <c:v>4.4999999999999998E-2</c:v>
                </c:pt>
                <c:pt idx="8">
                  <c:v>4.4999999999999998E-2</c:v>
                </c:pt>
                <c:pt idx="10">
                  <c:v>6.5000000000000002E-2</c:v>
                </c:pt>
                <c:pt idx="12">
                  <c:v>6.5000000000000002E-2</c:v>
                </c:pt>
                <c:pt idx="14">
                  <c:v>9.5000000000000001E-2</c:v>
                </c:pt>
                <c:pt idx="16">
                  <c:v>9.5000000000000001E-2</c:v>
                </c:pt>
                <c:pt idx="18">
                  <c:v>0.10500000000000001</c:v>
                </c:pt>
                <c:pt idx="20">
                  <c:v>0.11499999999999999</c:v>
                </c:pt>
                <c:pt idx="22">
                  <c:v>0.13</c:v>
                </c:pt>
                <c:pt idx="24">
                  <c:v>0.16</c:v>
                </c:pt>
                <c:pt idx="26">
                  <c:v>0.14500000000000002</c:v>
                </c:pt>
                <c:pt idx="28">
                  <c:v>0.18</c:v>
                </c:pt>
                <c:pt idx="30">
                  <c:v>0.19</c:v>
                </c:pt>
                <c:pt idx="31">
                  <c:v>0.21</c:v>
                </c:pt>
                <c:pt idx="33">
                  <c:v>0.22</c:v>
                </c:pt>
                <c:pt idx="34">
                  <c:v>0.25</c:v>
                </c:pt>
                <c:pt idx="35">
                  <c:v>0.26</c:v>
                </c:pt>
                <c:pt idx="36">
                  <c:v>0.28999999999999998</c:v>
                </c:pt>
                <c:pt idx="37">
                  <c:v>0.28999999999999998</c:v>
                </c:pt>
                <c:pt idx="38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5B-4711-9624-B45C7761E149}"/>
            </c:ext>
          </c:extLst>
        </c:ser>
        <c:ser>
          <c:idx val="2"/>
          <c:order val="2"/>
          <c:tx>
            <c:strRef>
              <c:f>Multithread!$D$1</c:f>
              <c:strCache>
                <c:ptCount val="1"/>
                <c:pt idx="0">
                  <c:v>Physics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3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Multithread!$A$2:$A$40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2000</c:v>
                </c:pt>
                <c:pt idx="22">
                  <c:v>2200</c:v>
                </c:pt>
                <c:pt idx="23">
                  <c:v>2200</c:v>
                </c:pt>
                <c:pt idx="24">
                  <c:v>2400</c:v>
                </c:pt>
                <c:pt idx="25">
                  <c:v>2400</c:v>
                </c:pt>
                <c:pt idx="26">
                  <c:v>2600</c:v>
                </c:pt>
                <c:pt idx="27">
                  <c:v>2600</c:v>
                </c:pt>
                <c:pt idx="28">
                  <c:v>2800</c:v>
                </c:pt>
                <c:pt idx="29">
                  <c:v>2800</c:v>
                </c:pt>
                <c:pt idx="30">
                  <c:v>3000</c:v>
                </c:pt>
                <c:pt idx="31">
                  <c:v>3200</c:v>
                </c:pt>
                <c:pt idx="32">
                  <c:v>3200</c:v>
                </c:pt>
                <c:pt idx="33">
                  <c:v>3400</c:v>
                </c:pt>
                <c:pt idx="34">
                  <c:v>3600</c:v>
                </c:pt>
                <c:pt idx="35">
                  <c:v>3800</c:v>
                </c:pt>
                <c:pt idx="36">
                  <c:v>4000</c:v>
                </c:pt>
                <c:pt idx="37">
                  <c:v>4200</c:v>
                </c:pt>
                <c:pt idx="38">
                  <c:v>4400</c:v>
                </c:pt>
              </c:numCache>
            </c:numRef>
          </c:xVal>
          <c:yVal>
            <c:numRef>
              <c:f>Multithread!$J$2:$J$40</c:f>
              <c:numCache>
                <c:formatCode>General</c:formatCode>
                <c:ptCount val="39"/>
                <c:pt idx="0">
                  <c:v>2.15</c:v>
                </c:pt>
                <c:pt idx="2">
                  <c:v>3.2</c:v>
                </c:pt>
                <c:pt idx="4">
                  <c:v>4.5750000000000002</c:v>
                </c:pt>
                <c:pt idx="6">
                  <c:v>4.4050000000000002</c:v>
                </c:pt>
                <c:pt idx="8">
                  <c:v>4.76</c:v>
                </c:pt>
                <c:pt idx="10">
                  <c:v>5.3550000000000004</c:v>
                </c:pt>
                <c:pt idx="12">
                  <c:v>7.2</c:v>
                </c:pt>
                <c:pt idx="14">
                  <c:v>7.1749999999999998</c:v>
                </c:pt>
                <c:pt idx="16">
                  <c:v>8.6150000000000002</c:v>
                </c:pt>
                <c:pt idx="18">
                  <c:v>9.6849999999999987</c:v>
                </c:pt>
                <c:pt idx="20">
                  <c:v>10.365</c:v>
                </c:pt>
                <c:pt idx="22">
                  <c:v>10.58</c:v>
                </c:pt>
                <c:pt idx="24">
                  <c:v>11.125</c:v>
                </c:pt>
                <c:pt idx="26">
                  <c:v>12.32</c:v>
                </c:pt>
                <c:pt idx="28">
                  <c:v>13.47</c:v>
                </c:pt>
                <c:pt idx="30">
                  <c:v>18.95</c:v>
                </c:pt>
                <c:pt idx="31">
                  <c:v>21</c:v>
                </c:pt>
                <c:pt idx="33">
                  <c:v>23.06</c:v>
                </c:pt>
                <c:pt idx="34">
                  <c:v>26.11</c:v>
                </c:pt>
                <c:pt idx="35">
                  <c:v>28.57</c:v>
                </c:pt>
                <c:pt idx="36">
                  <c:v>32.659999999999997</c:v>
                </c:pt>
                <c:pt idx="37">
                  <c:v>34.85</c:v>
                </c:pt>
                <c:pt idx="38">
                  <c:v>41.94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5B-4711-9624-B45C7761E149}"/>
            </c:ext>
          </c:extLst>
        </c:ser>
        <c:ser>
          <c:idx val="3"/>
          <c:order val="3"/>
          <c:tx>
            <c:strRef>
              <c:f>Multithread!$E$1</c:f>
              <c:strCache>
                <c:ptCount val="1"/>
                <c:pt idx="0">
                  <c:v>Render Duration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4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Multithread!$A$2:$A$40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600</c:v>
                </c:pt>
                <c:pt idx="8">
                  <c:v>800</c:v>
                </c:pt>
                <c:pt idx="9">
                  <c:v>800</c:v>
                </c:pt>
                <c:pt idx="10">
                  <c:v>1000</c:v>
                </c:pt>
                <c:pt idx="11">
                  <c:v>1000</c:v>
                </c:pt>
                <c:pt idx="12">
                  <c:v>1200</c:v>
                </c:pt>
                <c:pt idx="13">
                  <c:v>1200</c:v>
                </c:pt>
                <c:pt idx="14">
                  <c:v>1400</c:v>
                </c:pt>
                <c:pt idx="15">
                  <c:v>1400</c:v>
                </c:pt>
                <c:pt idx="16">
                  <c:v>1600</c:v>
                </c:pt>
                <c:pt idx="17">
                  <c:v>1600</c:v>
                </c:pt>
                <c:pt idx="18">
                  <c:v>1800</c:v>
                </c:pt>
                <c:pt idx="19">
                  <c:v>1800</c:v>
                </c:pt>
                <c:pt idx="20">
                  <c:v>2000</c:v>
                </c:pt>
                <c:pt idx="21">
                  <c:v>2000</c:v>
                </c:pt>
                <c:pt idx="22">
                  <c:v>2200</c:v>
                </c:pt>
                <c:pt idx="23">
                  <c:v>2200</c:v>
                </c:pt>
                <c:pt idx="24">
                  <c:v>2400</c:v>
                </c:pt>
                <c:pt idx="25">
                  <c:v>2400</c:v>
                </c:pt>
                <c:pt idx="26">
                  <c:v>2600</c:v>
                </c:pt>
                <c:pt idx="27">
                  <c:v>2600</c:v>
                </c:pt>
                <c:pt idx="28">
                  <c:v>2800</c:v>
                </c:pt>
                <c:pt idx="29">
                  <c:v>2800</c:v>
                </c:pt>
                <c:pt idx="30">
                  <c:v>3000</c:v>
                </c:pt>
                <c:pt idx="31">
                  <c:v>3200</c:v>
                </c:pt>
                <c:pt idx="32">
                  <c:v>3200</c:v>
                </c:pt>
                <c:pt idx="33">
                  <c:v>3400</c:v>
                </c:pt>
                <c:pt idx="34">
                  <c:v>3600</c:v>
                </c:pt>
                <c:pt idx="35">
                  <c:v>3800</c:v>
                </c:pt>
                <c:pt idx="36">
                  <c:v>4000</c:v>
                </c:pt>
                <c:pt idx="37">
                  <c:v>4200</c:v>
                </c:pt>
                <c:pt idx="38">
                  <c:v>4400</c:v>
                </c:pt>
              </c:numCache>
            </c:numRef>
          </c:xVal>
          <c:yVal>
            <c:numRef>
              <c:f>Multithread!$K$2:$K$40</c:f>
              <c:numCache>
                <c:formatCode>General</c:formatCode>
                <c:ptCount val="39"/>
                <c:pt idx="0">
                  <c:v>7.9450000000000003</c:v>
                </c:pt>
                <c:pt idx="2">
                  <c:v>13.545</c:v>
                </c:pt>
                <c:pt idx="4">
                  <c:v>12.09</c:v>
                </c:pt>
                <c:pt idx="6">
                  <c:v>12.145</c:v>
                </c:pt>
                <c:pt idx="8">
                  <c:v>11.850000000000001</c:v>
                </c:pt>
                <c:pt idx="10">
                  <c:v>11.154999999999999</c:v>
                </c:pt>
                <c:pt idx="12">
                  <c:v>9.4149999999999991</c:v>
                </c:pt>
                <c:pt idx="14">
                  <c:v>9.3650000000000002</c:v>
                </c:pt>
                <c:pt idx="16">
                  <c:v>8.1349999999999998</c:v>
                </c:pt>
                <c:pt idx="18">
                  <c:v>6.88</c:v>
                </c:pt>
                <c:pt idx="20">
                  <c:v>6.5449999999999999</c:v>
                </c:pt>
                <c:pt idx="22">
                  <c:v>6.09</c:v>
                </c:pt>
                <c:pt idx="24">
                  <c:v>5.3900000000000006</c:v>
                </c:pt>
                <c:pt idx="26">
                  <c:v>4.4000000000000004</c:v>
                </c:pt>
                <c:pt idx="28">
                  <c:v>3.02</c:v>
                </c:pt>
                <c:pt idx="30">
                  <c:v>1.43</c:v>
                </c:pt>
                <c:pt idx="31">
                  <c:v>1.2250000000000001</c:v>
                </c:pt>
                <c:pt idx="33">
                  <c:v>1.38</c:v>
                </c:pt>
                <c:pt idx="34">
                  <c:v>1.34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5B-4711-9624-B45C7761E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316703"/>
        <c:axId val="534333503"/>
      </c:scatterChart>
      <c:valAx>
        <c:axId val="534316703"/>
        <c:scaling>
          <c:orientation val="minMax"/>
          <c:max val="45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 of Enemies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33503"/>
        <c:crosses val="autoZero"/>
        <c:crossBetween val="midCat"/>
      </c:valAx>
      <c:valAx>
        <c:axId val="53433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Latency per Update Cycle (ms)</a:t>
                </a:r>
              </a:p>
            </c:rich>
          </c:tx>
          <c:layout>
            <c:manualLayout>
              <c:xMode val="edge"/>
              <c:yMode val="edge"/>
              <c:x val="4.594594562001883E-3"/>
              <c:y val="0.3023097686184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1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481981</xdr:colOff>
      <xdr:row>30</xdr:row>
      <xdr:rowOff>75768</xdr:rowOff>
    </xdr:from>
    <xdr:to>
      <xdr:col>8</xdr:col>
      <xdr:colOff>834456</xdr:colOff>
      <xdr:row>59</xdr:row>
      <xdr:rowOff>86974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C7C925-0C61-B81D-7639-0727A1307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179294</xdr:colOff>
      <xdr:row>30</xdr:row>
      <xdr:rowOff>89647</xdr:rowOff>
    </xdr:from>
    <xdr:to>
      <xdr:col>22</xdr:col>
      <xdr:colOff>190500</xdr:colOff>
      <xdr:row>59</xdr:row>
      <xdr:rowOff>75384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032B02-8E17-492A-ABC6-93D17BEAD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519472</xdr:colOff>
      <xdr:row>8</xdr:row>
      <xdr:rowOff>157682</xdr:rowOff>
    </xdr:from>
    <xdr:to>
      <xdr:col>26</xdr:col>
      <xdr:colOff>176893</xdr:colOff>
      <xdr:row>37</xdr:row>
      <xdr:rowOff>143419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508269-A98F-4EB6-8ED4-5FBF13E42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AA28-D76C-4769-9402-208A15A0F56C}">
  <dimension ref="A1:K29"/>
  <sheetViews>
    <sheetView zoomScale="70" zoomScaleNormal="70" workbookViewId="0">
      <selection activeCell="K30" sqref="K30"/>
    </sheetView>
  </sheetViews>
  <sheetFormatPr defaultRowHeight="15" x14ac:dyDescent="0.25"/>
  <cols>
    <col min="1" max="1" width="18.5703125" style="1" customWidth="1"/>
    <col min="2" max="2" width="16" style="1" customWidth="1"/>
    <col min="3" max="3" width="17.5703125" style="1" customWidth="1"/>
    <col min="4" max="4" width="24.7109375" style="1" customWidth="1"/>
    <col min="5" max="5" width="19.42578125" style="1" customWidth="1"/>
    <col min="6" max="6" width="9.140625" style="1"/>
    <col min="7" max="7" width="13" style="1" customWidth="1"/>
    <col min="8" max="8" width="14.85546875" style="1" bestFit="1" customWidth="1"/>
    <col min="9" max="9" width="13.85546875" style="1" bestFit="1" customWidth="1"/>
    <col min="10" max="10" width="16" style="1" bestFit="1" customWidth="1"/>
    <col min="11" max="11" width="15.42578125" style="1" bestFit="1" customWidth="1"/>
    <col min="12" max="16384" width="9.140625" style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G1" s="1" t="s">
        <v>1</v>
      </c>
      <c r="H1" s="1" t="s">
        <v>2</v>
      </c>
      <c r="I1" s="1" t="s">
        <v>3</v>
      </c>
      <c r="J1" s="1" t="s">
        <v>0</v>
      </c>
      <c r="K1" s="1" t="s">
        <v>4</v>
      </c>
    </row>
    <row r="2" spans="1:11" x14ac:dyDescent="0.25">
      <c r="A2" s="1">
        <v>0</v>
      </c>
      <c r="B2" s="1">
        <v>5.0999999999999996</v>
      </c>
      <c r="C2" s="1">
        <v>0.01</v>
      </c>
      <c r="D2" s="1">
        <v>0.02</v>
      </c>
      <c r="E2" s="1">
        <v>5.07</v>
      </c>
      <c r="G2" s="1">
        <v>0</v>
      </c>
      <c r="H2" s="1">
        <f>AVERAGE(B2:B3)</f>
        <v>10.82</v>
      </c>
      <c r="I2" s="1">
        <f t="shared" ref="I2:K2" si="0">AVERAGE(C2:C3)</f>
        <v>0.01</v>
      </c>
      <c r="J2" s="1">
        <f t="shared" si="0"/>
        <v>9.9999999999999992E-2</v>
      </c>
      <c r="K2" s="1">
        <f t="shared" si="0"/>
        <v>10.71</v>
      </c>
    </row>
    <row r="3" spans="1:11" x14ac:dyDescent="0.25">
      <c r="A3" s="1">
        <v>0</v>
      </c>
      <c r="B3" s="1">
        <v>16.54</v>
      </c>
      <c r="C3" s="1">
        <v>0.01</v>
      </c>
      <c r="D3" s="1">
        <v>0.18</v>
      </c>
      <c r="E3" s="1">
        <v>16.350000000000001</v>
      </c>
    </row>
    <row r="4" spans="1:11" x14ac:dyDescent="0.25">
      <c r="A4" s="1">
        <v>200</v>
      </c>
      <c r="B4" s="1">
        <v>16.72</v>
      </c>
      <c r="C4" s="1">
        <v>0.48</v>
      </c>
      <c r="D4" s="1">
        <v>1.82</v>
      </c>
      <c r="E4" s="1">
        <v>14.42</v>
      </c>
      <c r="G4" s="1">
        <v>200</v>
      </c>
      <c r="H4" s="1">
        <f>AVERAGE(B4:B5)</f>
        <v>16.664999999999999</v>
      </c>
      <c r="I4" s="1">
        <f t="shared" ref="I4" si="1">AVERAGE(C4:C5)</f>
        <v>0.27500000000000002</v>
      </c>
      <c r="J4" s="1">
        <f t="shared" ref="J4" si="2">AVERAGE(D4:D5)</f>
        <v>2.1550000000000002</v>
      </c>
      <c r="K4" s="1">
        <f t="shared" ref="K4" si="3">AVERAGE(E4:E5)</f>
        <v>14.234999999999999</v>
      </c>
    </row>
    <row r="5" spans="1:11" x14ac:dyDescent="0.25">
      <c r="A5" s="1">
        <v>200</v>
      </c>
      <c r="B5" s="1">
        <v>16.61</v>
      </c>
      <c r="C5" s="1">
        <v>7.0000000000000007E-2</v>
      </c>
      <c r="D5" s="1">
        <v>2.4900000000000002</v>
      </c>
      <c r="E5" s="1">
        <v>14.05</v>
      </c>
    </row>
    <row r="6" spans="1:11" x14ac:dyDescent="0.25">
      <c r="A6" s="1">
        <v>400</v>
      </c>
      <c r="B6" s="1">
        <v>16.48</v>
      </c>
      <c r="C6" s="1">
        <v>1.17</v>
      </c>
      <c r="D6" s="1">
        <v>3.88</v>
      </c>
      <c r="E6" s="1">
        <v>11.43</v>
      </c>
      <c r="G6" s="1">
        <v>400</v>
      </c>
      <c r="H6" s="1">
        <f>AVERAGE(B6:B7)</f>
        <v>16.555</v>
      </c>
      <c r="I6" s="1">
        <f t="shared" ref="I6" si="4">AVERAGE(C6:C7)</f>
        <v>0.6</v>
      </c>
      <c r="J6" s="1">
        <f t="shared" ref="J6" si="5">AVERAGE(D6:D7)</f>
        <v>3.05</v>
      </c>
      <c r="K6" s="1">
        <f t="shared" ref="K6" si="6">AVERAGE(E6:E7)</f>
        <v>12.905000000000001</v>
      </c>
    </row>
    <row r="7" spans="1:11" x14ac:dyDescent="0.25">
      <c r="A7" s="1">
        <v>400</v>
      </c>
      <c r="B7" s="1">
        <v>16.63</v>
      </c>
      <c r="C7" s="1">
        <v>0.03</v>
      </c>
      <c r="D7" s="1">
        <v>2.2200000000000002</v>
      </c>
      <c r="E7" s="1">
        <v>14.38</v>
      </c>
    </row>
    <row r="8" spans="1:11" x14ac:dyDescent="0.25">
      <c r="A8" s="1">
        <v>600</v>
      </c>
      <c r="B8" s="1">
        <v>16.5</v>
      </c>
      <c r="C8" s="1">
        <v>1.07</v>
      </c>
      <c r="D8" s="1">
        <v>5.95</v>
      </c>
      <c r="E8" s="1">
        <v>9.48</v>
      </c>
      <c r="G8" s="1">
        <v>600</v>
      </c>
      <c r="H8" s="1">
        <f>AVERAGE(B8:B9)</f>
        <v>16.84</v>
      </c>
      <c r="I8" s="1">
        <f t="shared" ref="I8" si="7">AVERAGE(C8:C9)</f>
        <v>0.56000000000000005</v>
      </c>
      <c r="J8" s="1">
        <f t="shared" ref="J8" si="8">AVERAGE(D8:D9)</f>
        <v>5.27</v>
      </c>
      <c r="K8" s="1">
        <f t="shared" ref="K8" si="9">AVERAGE(E8:E9)</f>
        <v>11.01</v>
      </c>
    </row>
    <row r="9" spans="1:11" x14ac:dyDescent="0.25">
      <c r="A9" s="1">
        <v>600</v>
      </c>
      <c r="B9" s="1">
        <v>17.18</v>
      </c>
      <c r="C9" s="1">
        <v>0.05</v>
      </c>
      <c r="D9" s="1">
        <v>4.59</v>
      </c>
      <c r="E9" s="1">
        <v>12.54</v>
      </c>
    </row>
    <row r="10" spans="1:11" x14ac:dyDescent="0.25">
      <c r="A10" s="1">
        <v>800</v>
      </c>
      <c r="B10" s="1">
        <v>16.87</v>
      </c>
      <c r="C10" s="1">
        <v>0.73</v>
      </c>
      <c r="D10" s="1">
        <v>6.04</v>
      </c>
      <c r="E10" s="1">
        <v>10.1</v>
      </c>
      <c r="G10" s="1">
        <v>800</v>
      </c>
      <c r="H10" s="1">
        <f>AVERAGE(B10:B11)</f>
        <v>16.690000000000001</v>
      </c>
      <c r="I10" s="1">
        <f t="shared" ref="I10" si="10">AVERAGE(C10:C11)</f>
        <v>0.38500000000000001</v>
      </c>
      <c r="J10" s="1">
        <f t="shared" ref="J10" si="11">AVERAGE(D10:D11)</f>
        <v>5.7450000000000001</v>
      </c>
      <c r="K10" s="1">
        <f t="shared" ref="K10" si="12">AVERAGE(E10:E11)</f>
        <v>10.559999999999999</v>
      </c>
    </row>
    <row r="11" spans="1:11" x14ac:dyDescent="0.25">
      <c r="A11" s="1">
        <v>800</v>
      </c>
      <c r="B11" s="1">
        <v>16.510000000000002</v>
      </c>
      <c r="C11" s="1">
        <v>0.04</v>
      </c>
      <c r="D11" s="1">
        <v>5.45</v>
      </c>
      <c r="E11" s="1">
        <v>11.02</v>
      </c>
    </row>
    <row r="12" spans="1:11" x14ac:dyDescent="0.25">
      <c r="A12" s="1">
        <v>1000</v>
      </c>
      <c r="B12" s="1">
        <v>16.73</v>
      </c>
      <c r="C12" s="1">
        <v>0.52</v>
      </c>
      <c r="D12" s="1">
        <v>8.1999999999999993</v>
      </c>
      <c r="E12" s="1">
        <v>8.01</v>
      </c>
      <c r="G12" s="1">
        <v>1000</v>
      </c>
      <c r="H12" s="1">
        <f>AVERAGE(B12:B13)</f>
        <v>16.685000000000002</v>
      </c>
      <c r="I12" s="1">
        <f t="shared" ref="I12" si="13">AVERAGE(C12:C13)</f>
        <v>0.28500000000000003</v>
      </c>
      <c r="J12" s="1">
        <f t="shared" ref="J12" si="14">AVERAGE(D12:D13)</f>
        <v>8.0150000000000006</v>
      </c>
      <c r="K12" s="1">
        <f t="shared" ref="K12" si="15">AVERAGE(E12:E13)</f>
        <v>8.39</v>
      </c>
    </row>
    <row r="13" spans="1:11" x14ac:dyDescent="0.25">
      <c r="A13" s="1">
        <v>1000</v>
      </c>
      <c r="B13" s="1">
        <v>16.64</v>
      </c>
      <c r="C13" s="1">
        <v>0.05</v>
      </c>
      <c r="D13" s="1">
        <v>7.83</v>
      </c>
      <c r="E13" s="1">
        <v>8.77</v>
      </c>
    </row>
    <row r="14" spans="1:11" x14ac:dyDescent="0.25">
      <c r="A14" s="1">
        <v>1200</v>
      </c>
      <c r="B14" s="1">
        <v>16.75</v>
      </c>
      <c r="C14" s="1">
        <v>0.59</v>
      </c>
      <c r="D14" s="1">
        <v>10.39</v>
      </c>
      <c r="E14" s="1">
        <v>5.77</v>
      </c>
      <c r="G14" s="1">
        <v>1200</v>
      </c>
      <c r="H14" s="1">
        <f>AVERAGE(B14:B15)</f>
        <v>16.71</v>
      </c>
      <c r="I14" s="1">
        <f t="shared" ref="I14" si="16">AVERAGE(C14:C15)</f>
        <v>0.32499999999999996</v>
      </c>
      <c r="J14" s="1">
        <f t="shared" ref="J14" si="17">AVERAGE(D14:D15)</f>
        <v>10.565000000000001</v>
      </c>
      <c r="K14" s="1">
        <f t="shared" ref="K14" si="18">AVERAGE(E14:E15)</f>
        <v>5.82</v>
      </c>
    </row>
    <row r="15" spans="1:11" x14ac:dyDescent="0.25">
      <c r="A15" s="1">
        <v>1200</v>
      </c>
      <c r="B15" s="1">
        <v>16.670000000000002</v>
      </c>
      <c r="C15" s="1">
        <v>0.06</v>
      </c>
      <c r="D15" s="1">
        <v>10.74</v>
      </c>
      <c r="E15" s="1">
        <v>5.87</v>
      </c>
    </row>
    <row r="16" spans="1:11" x14ac:dyDescent="0.25">
      <c r="A16" s="1">
        <v>1400</v>
      </c>
      <c r="B16" s="1">
        <v>16.68</v>
      </c>
      <c r="C16" s="1">
        <v>0.62</v>
      </c>
      <c r="D16" s="1">
        <v>13.74</v>
      </c>
      <c r="E16" s="1">
        <v>2.3199999999999998</v>
      </c>
      <c r="G16" s="1">
        <v>1400</v>
      </c>
      <c r="H16" s="1">
        <f>AVERAGE(B16:B17)</f>
        <v>16.865000000000002</v>
      </c>
      <c r="I16" s="1">
        <f t="shared" ref="I16" si="19">AVERAGE(C16:C17)</f>
        <v>0.34499999999999997</v>
      </c>
      <c r="J16" s="1">
        <f t="shared" ref="J16" si="20">AVERAGE(D16:D17)</f>
        <v>13.29</v>
      </c>
      <c r="K16" s="1">
        <f t="shared" ref="K16" si="21">AVERAGE(E16:E17)</f>
        <v>3.2299999999999995</v>
      </c>
    </row>
    <row r="17" spans="1:11" x14ac:dyDescent="0.25">
      <c r="A17" s="1">
        <v>1400</v>
      </c>
      <c r="B17" s="1">
        <v>17.05</v>
      </c>
      <c r="C17" s="1">
        <v>7.0000000000000007E-2</v>
      </c>
      <c r="D17" s="1">
        <v>12.84</v>
      </c>
      <c r="E17" s="1">
        <v>4.1399999999999997</v>
      </c>
    </row>
    <row r="18" spans="1:11" x14ac:dyDescent="0.25">
      <c r="A18" s="1">
        <v>1600</v>
      </c>
      <c r="B18" s="1">
        <v>17.600000000000001</v>
      </c>
      <c r="C18" s="1">
        <v>0.6</v>
      </c>
      <c r="D18" s="1">
        <v>16.39</v>
      </c>
      <c r="E18" s="1">
        <v>0.6</v>
      </c>
      <c r="G18" s="1">
        <v>1600</v>
      </c>
      <c r="H18" s="1">
        <f>AVERAGE(B18:B19)</f>
        <v>17.36</v>
      </c>
      <c r="I18" s="1">
        <f t="shared" ref="I18" si="22">AVERAGE(C18:C19)</f>
        <v>0.34499999999999997</v>
      </c>
      <c r="J18" s="1">
        <f t="shared" ref="J18" si="23">AVERAGE(D18:D19)</f>
        <v>16.36</v>
      </c>
      <c r="K18" s="1">
        <f t="shared" ref="K18" si="24">AVERAGE(E18:E19)</f>
        <v>0.64500000000000002</v>
      </c>
    </row>
    <row r="19" spans="1:11" x14ac:dyDescent="0.25">
      <c r="A19" s="1">
        <v>1600</v>
      </c>
      <c r="B19" s="1">
        <v>17.12</v>
      </c>
      <c r="C19" s="1">
        <v>0.09</v>
      </c>
      <c r="D19" s="1">
        <v>16.329999999999998</v>
      </c>
      <c r="E19" s="1">
        <v>0.69</v>
      </c>
    </row>
    <row r="20" spans="1:11" x14ac:dyDescent="0.25">
      <c r="A20" s="1">
        <v>1800</v>
      </c>
      <c r="B20" s="1">
        <v>20.100000000000001</v>
      </c>
      <c r="C20" s="1">
        <v>0.08</v>
      </c>
      <c r="D20" s="1">
        <v>19.32</v>
      </c>
      <c r="E20" s="1">
        <v>0.7</v>
      </c>
      <c r="G20" s="1">
        <v>1800</v>
      </c>
      <c r="H20" s="1">
        <f>AVERAGE(B20:B21)</f>
        <v>20.12</v>
      </c>
      <c r="I20" s="1">
        <f t="shared" ref="I20" si="25">AVERAGE(C20:C21)</f>
        <v>8.4999999999999992E-2</v>
      </c>
      <c r="J20" s="1">
        <f t="shared" ref="J20" si="26">AVERAGE(D20:D21)</f>
        <v>19.32</v>
      </c>
      <c r="K20" s="1">
        <f t="shared" ref="K20" si="27">AVERAGE(E20:E21)</f>
        <v>0.71499999999999997</v>
      </c>
    </row>
    <row r="21" spans="1:11" x14ac:dyDescent="0.25">
      <c r="A21" s="1">
        <v>1800</v>
      </c>
      <c r="B21" s="1">
        <v>20.14</v>
      </c>
      <c r="C21" s="1">
        <v>0.09</v>
      </c>
      <c r="D21" s="1">
        <v>19.32</v>
      </c>
      <c r="E21" s="1">
        <v>0.73</v>
      </c>
    </row>
    <row r="22" spans="1:11" x14ac:dyDescent="0.25">
      <c r="A22" s="1">
        <v>2000</v>
      </c>
      <c r="B22" s="1">
        <v>25.08</v>
      </c>
      <c r="C22" s="1">
        <v>0.11</v>
      </c>
      <c r="D22" s="1">
        <v>24.19</v>
      </c>
      <c r="E22" s="1">
        <v>0.78</v>
      </c>
      <c r="G22" s="1">
        <v>2000</v>
      </c>
      <c r="H22" s="1">
        <v>25.08</v>
      </c>
      <c r="I22" s="1">
        <v>0.11</v>
      </c>
      <c r="J22" s="1">
        <v>24.19</v>
      </c>
      <c r="K22" s="1">
        <v>0.78</v>
      </c>
    </row>
    <row r="23" spans="1:11" x14ac:dyDescent="0.25">
      <c r="A23" s="1">
        <v>2200</v>
      </c>
      <c r="B23" s="1">
        <v>28.02</v>
      </c>
      <c r="C23" s="1">
        <v>0.7</v>
      </c>
      <c r="D23" s="1">
        <v>26.26</v>
      </c>
      <c r="E23" s="1">
        <v>1.06</v>
      </c>
      <c r="G23" s="1">
        <v>2200</v>
      </c>
      <c r="H23" s="1">
        <f>AVERAGE(B23:B24)</f>
        <v>27.835000000000001</v>
      </c>
      <c r="I23" s="1">
        <f t="shared" ref="I23" si="28">AVERAGE(C23:C24)</f>
        <v>0.41</v>
      </c>
      <c r="J23" s="1">
        <f t="shared" ref="J23" si="29">AVERAGE(D23:D24)</f>
        <v>26.490000000000002</v>
      </c>
      <c r="K23" s="1">
        <f t="shared" ref="K23" si="30">AVERAGE(E23:E24)</f>
        <v>0.93500000000000005</v>
      </c>
    </row>
    <row r="24" spans="1:11" x14ac:dyDescent="0.25">
      <c r="A24" s="1">
        <v>2200</v>
      </c>
      <c r="B24" s="1">
        <v>27.65</v>
      </c>
      <c r="C24" s="1">
        <v>0.12</v>
      </c>
      <c r="D24" s="1">
        <v>26.72</v>
      </c>
      <c r="E24" s="1">
        <v>0.81</v>
      </c>
    </row>
    <row r="25" spans="1:11" x14ac:dyDescent="0.25">
      <c r="A25" s="1">
        <v>2400</v>
      </c>
      <c r="B25" s="1">
        <v>31.08</v>
      </c>
      <c r="C25" s="1">
        <v>0.15</v>
      </c>
      <c r="D25" s="1">
        <v>30.09</v>
      </c>
      <c r="E25" s="1">
        <v>0.83</v>
      </c>
      <c r="G25" s="1">
        <v>2400</v>
      </c>
      <c r="H25" s="1">
        <v>31.08</v>
      </c>
      <c r="I25" s="1">
        <v>0.15</v>
      </c>
      <c r="J25" s="1">
        <v>30.09</v>
      </c>
      <c r="K25" s="1">
        <v>0.83</v>
      </c>
    </row>
    <row r="26" spans="1:11" x14ac:dyDescent="0.25">
      <c r="A26" s="1">
        <v>2600</v>
      </c>
      <c r="B26" s="1">
        <v>35.19</v>
      </c>
      <c r="C26" s="1">
        <v>0.16</v>
      </c>
      <c r="D26" s="1">
        <v>33.950000000000003</v>
      </c>
      <c r="E26" s="1">
        <v>1.08</v>
      </c>
      <c r="G26" s="1">
        <v>2600</v>
      </c>
      <c r="H26" s="1">
        <v>35.19</v>
      </c>
      <c r="I26" s="1">
        <v>0.16</v>
      </c>
      <c r="J26" s="1">
        <v>33.950000000000003</v>
      </c>
      <c r="K26" s="1">
        <v>1.08</v>
      </c>
    </row>
    <row r="27" spans="1:11" x14ac:dyDescent="0.25">
      <c r="A27" s="1">
        <v>3000</v>
      </c>
      <c r="B27" s="1">
        <v>47.6</v>
      </c>
      <c r="C27" s="1">
        <v>0.89</v>
      </c>
      <c r="D27" s="1">
        <v>45.69</v>
      </c>
      <c r="E27" s="1">
        <v>1.01</v>
      </c>
      <c r="G27" s="1">
        <v>3000</v>
      </c>
      <c r="H27" s="1">
        <v>47.6</v>
      </c>
      <c r="I27" s="1">
        <v>0.89</v>
      </c>
      <c r="J27" s="1">
        <v>45.69</v>
      </c>
      <c r="K27" s="1">
        <v>1.01</v>
      </c>
    </row>
    <row r="28" spans="1:11" x14ac:dyDescent="0.25">
      <c r="A28" s="1">
        <v>3200</v>
      </c>
      <c r="B28" s="1">
        <v>49.51</v>
      </c>
      <c r="C28" s="1">
        <v>0.22</v>
      </c>
      <c r="D28" s="1">
        <v>47.91</v>
      </c>
      <c r="E28" s="1">
        <v>1.38</v>
      </c>
      <c r="G28" s="1">
        <v>3200</v>
      </c>
      <c r="H28" s="1">
        <v>49.51</v>
      </c>
      <c r="I28" s="1">
        <v>0.22</v>
      </c>
      <c r="J28" s="1">
        <v>47.91</v>
      </c>
      <c r="K28" s="1">
        <v>1.38</v>
      </c>
    </row>
    <row r="29" spans="1:11" x14ac:dyDescent="0.25">
      <c r="A29" s="1">
        <v>3400</v>
      </c>
      <c r="B29" s="1">
        <v>53.69</v>
      </c>
      <c r="C29" s="1">
        <v>0.2</v>
      </c>
      <c r="D29" s="1">
        <v>52.34</v>
      </c>
      <c r="E29" s="1">
        <v>1.1499999999999999</v>
      </c>
      <c r="G29" s="1">
        <v>3400</v>
      </c>
      <c r="H29" s="1">
        <v>53.69</v>
      </c>
      <c r="I29" s="1">
        <v>0.2</v>
      </c>
      <c r="J29" s="1">
        <v>52.34</v>
      </c>
      <c r="K29" s="1">
        <v>1.1499999999999999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64CC-C490-4EE1-A092-00129C0F94E3}">
  <dimension ref="A1:K40"/>
  <sheetViews>
    <sheetView tabSelected="1" zoomScale="70" zoomScaleNormal="70" workbookViewId="0">
      <selection activeCell="N36" sqref="N36"/>
    </sheetView>
  </sheetViews>
  <sheetFormatPr defaultRowHeight="15" x14ac:dyDescent="0.25"/>
  <cols>
    <col min="1" max="1" width="18.5703125" style="1" customWidth="1"/>
    <col min="2" max="2" width="16" style="1" customWidth="1"/>
    <col min="3" max="3" width="17.5703125" style="1" customWidth="1"/>
    <col min="4" max="4" width="24.7109375" style="1" customWidth="1"/>
    <col min="5" max="5" width="19.42578125" style="1" customWidth="1"/>
    <col min="6" max="6" width="9.140625" style="1"/>
    <col min="7" max="7" width="13" style="1" customWidth="1"/>
    <col min="8" max="8" width="14.85546875" style="1" bestFit="1" customWidth="1"/>
    <col min="9" max="9" width="13.85546875" style="1" bestFit="1" customWidth="1"/>
    <col min="10" max="10" width="16" style="1" bestFit="1" customWidth="1"/>
    <col min="11" max="11" width="15.42578125" style="1" bestFit="1" customWidth="1"/>
    <col min="12" max="16384" width="9.140625" style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G1" s="1" t="s">
        <v>1</v>
      </c>
      <c r="H1" s="1" t="s">
        <v>2</v>
      </c>
      <c r="I1" s="1" t="s">
        <v>3</v>
      </c>
      <c r="J1" s="1" t="s">
        <v>0</v>
      </c>
      <c r="K1" s="1" t="s">
        <v>4</v>
      </c>
    </row>
    <row r="2" spans="1:11" x14ac:dyDescent="0.25">
      <c r="A2" s="1">
        <v>0</v>
      </c>
      <c r="B2" s="1">
        <v>3.68</v>
      </c>
      <c r="C2" s="1">
        <v>0.01</v>
      </c>
      <c r="D2" s="1">
        <v>0.5</v>
      </c>
      <c r="E2" s="1">
        <v>3.18</v>
      </c>
      <c r="G2" s="1">
        <v>0</v>
      </c>
      <c r="H2" s="1">
        <f>AVERAGE(B2:B3)</f>
        <v>10.095000000000001</v>
      </c>
      <c r="I2" s="1">
        <f t="shared" ref="I2:K2" si="0">AVERAGE(C2:C3)</f>
        <v>0.01</v>
      </c>
      <c r="J2" s="1">
        <f t="shared" si="0"/>
        <v>2.15</v>
      </c>
      <c r="K2" s="1">
        <f t="shared" si="0"/>
        <v>7.9450000000000003</v>
      </c>
    </row>
    <row r="3" spans="1:11" x14ac:dyDescent="0.25">
      <c r="A3" s="1">
        <v>0</v>
      </c>
      <c r="B3" s="1">
        <v>16.510000000000002</v>
      </c>
      <c r="C3" s="1">
        <v>0.01</v>
      </c>
      <c r="D3" s="1">
        <v>3.8</v>
      </c>
      <c r="E3" s="1">
        <v>12.71</v>
      </c>
    </row>
    <row r="4" spans="1:11" x14ac:dyDescent="0.25">
      <c r="A4" s="1">
        <v>200</v>
      </c>
      <c r="B4" s="1">
        <v>16.760000000000002</v>
      </c>
      <c r="C4" s="1">
        <v>0.01</v>
      </c>
      <c r="D4" s="1">
        <v>2.82</v>
      </c>
      <c r="E4" s="1">
        <v>13.93</v>
      </c>
      <c r="G4" s="1">
        <v>200</v>
      </c>
      <c r="H4" s="1">
        <f>AVERAGE(B4:B5)</f>
        <v>16.755000000000003</v>
      </c>
      <c r="I4" s="1">
        <f t="shared" ref="I4" si="1">AVERAGE(C4:C5)</f>
        <v>1.4999999999999999E-2</v>
      </c>
      <c r="J4" s="1">
        <f t="shared" ref="J4" si="2">AVERAGE(D4:D5)</f>
        <v>3.2</v>
      </c>
      <c r="K4" s="1">
        <f t="shared" ref="K4" si="3">AVERAGE(E4:E5)</f>
        <v>13.545</v>
      </c>
    </row>
    <row r="5" spans="1:11" x14ac:dyDescent="0.25">
      <c r="A5" s="1">
        <v>200</v>
      </c>
      <c r="B5" s="1">
        <v>16.75</v>
      </c>
      <c r="C5" s="1">
        <v>0.02</v>
      </c>
      <c r="D5" s="1">
        <v>3.58</v>
      </c>
      <c r="E5" s="1">
        <v>13.16</v>
      </c>
    </row>
    <row r="6" spans="1:11" x14ac:dyDescent="0.25">
      <c r="A6" s="1">
        <v>400</v>
      </c>
      <c r="B6" s="1">
        <v>16.7</v>
      </c>
      <c r="C6" s="1">
        <v>0.03</v>
      </c>
      <c r="D6" s="1">
        <v>4.87</v>
      </c>
      <c r="E6" s="1">
        <v>11.8</v>
      </c>
      <c r="G6" s="1">
        <v>400</v>
      </c>
      <c r="H6" s="1">
        <f>AVERAGE(B6:B7)</f>
        <v>16.695</v>
      </c>
      <c r="I6" s="1">
        <f t="shared" ref="I6" si="4">AVERAGE(C6:C7)</f>
        <v>0.03</v>
      </c>
      <c r="J6" s="1">
        <f t="shared" ref="J6" si="5">AVERAGE(D6:D7)</f>
        <v>4.5750000000000002</v>
      </c>
      <c r="K6" s="1">
        <f t="shared" ref="K6" si="6">AVERAGE(E6:E7)</f>
        <v>12.09</v>
      </c>
    </row>
    <row r="7" spans="1:11" x14ac:dyDescent="0.25">
      <c r="A7" s="1">
        <v>400</v>
      </c>
      <c r="B7" s="1">
        <v>16.690000000000001</v>
      </c>
      <c r="C7" s="1">
        <v>0.03</v>
      </c>
      <c r="D7" s="1">
        <v>4.28</v>
      </c>
      <c r="E7" s="1">
        <v>12.38</v>
      </c>
    </row>
    <row r="8" spans="1:11" x14ac:dyDescent="0.25">
      <c r="A8" s="1">
        <v>600</v>
      </c>
      <c r="B8" s="1">
        <v>16.649999999999999</v>
      </c>
      <c r="C8" s="1">
        <v>0.04</v>
      </c>
      <c r="D8" s="1">
        <v>4.4000000000000004</v>
      </c>
      <c r="E8" s="1">
        <v>12.22</v>
      </c>
      <c r="G8" s="1">
        <v>600</v>
      </c>
      <c r="H8" s="1">
        <f>AVERAGE(B8:B9)</f>
        <v>16.59</v>
      </c>
      <c r="I8" s="1">
        <f t="shared" ref="I8" si="7">AVERAGE(C8:C9)</f>
        <v>4.4999999999999998E-2</v>
      </c>
      <c r="J8" s="1">
        <f t="shared" ref="J8" si="8">AVERAGE(D8:D9)</f>
        <v>4.4050000000000002</v>
      </c>
      <c r="K8" s="1">
        <f t="shared" ref="K8" si="9">AVERAGE(E8:E9)</f>
        <v>12.145</v>
      </c>
    </row>
    <row r="9" spans="1:11" x14ac:dyDescent="0.25">
      <c r="A9" s="1">
        <v>600</v>
      </c>
      <c r="B9" s="1">
        <v>16.53</v>
      </c>
      <c r="C9" s="1">
        <v>0.05</v>
      </c>
      <c r="D9" s="1">
        <v>4.41</v>
      </c>
      <c r="E9" s="1">
        <v>12.07</v>
      </c>
    </row>
    <row r="10" spans="1:11" x14ac:dyDescent="0.25">
      <c r="A10" s="1">
        <v>800</v>
      </c>
      <c r="B10" s="1">
        <v>16.670000000000002</v>
      </c>
      <c r="C10" s="1">
        <v>0.05</v>
      </c>
      <c r="D10" s="1">
        <v>5.07</v>
      </c>
      <c r="E10" s="1">
        <v>11.55</v>
      </c>
      <c r="G10" s="1">
        <v>800</v>
      </c>
      <c r="H10" s="1">
        <f>AVERAGE(B10:B11)</f>
        <v>16.66</v>
      </c>
      <c r="I10" s="1">
        <f t="shared" ref="I10" si="10">AVERAGE(C10:C11)</f>
        <v>4.4999999999999998E-2</v>
      </c>
      <c r="J10" s="1">
        <f t="shared" ref="J10" si="11">AVERAGE(D10:D11)</f>
        <v>4.76</v>
      </c>
      <c r="K10" s="1">
        <f t="shared" ref="K10" si="12">AVERAGE(E10:E11)</f>
        <v>11.850000000000001</v>
      </c>
    </row>
    <row r="11" spans="1:11" x14ac:dyDescent="0.25">
      <c r="A11" s="1">
        <v>800</v>
      </c>
      <c r="B11" s="1">
        <v>16.649999999999999</v>
      </c>
      <c r="C11" s="1">
        <v>0.04</v>
      </c>
      <c r="D11" s="1">
        <v>4.45</v>
      </c>
      <c r="E11" s="1">
        <v>12.15</v>
      </c>
    </row>
    <row r="12" spans="1:11" x14ac:dyDescent="0.25">
      <c r="A12" s="1">
        <v>1000</v>
      </c>
      <c r="B12" s="1">
        <v>16.48</v>
      </c>
      <c r="C12" s="1">
        <v>7.0000000000000007E-2</v>
      </c>
      <c r="D12" s="1">
        <v>5.21</v>
      </c>
      <c r="E12" s="1">
        <v>11.2</v>
      </c>
      <c r="G12" s="1">
        <v>1000</v>
      </c>
      <c r="H12" s="1">
        <f>AVERAGE(B12:B13)</f>
        <v>16.57</v>
      </c>
      <c r="I12" s="1">
        <f t="shared" ref="I12" si="13">AVERAGE(C12:C13)</f>
        <v>6.5000000000000002E-2</v>
      </c>
      <c r="J12" s="1">
        <f t="shared" ref="J12" si="14">AVERAGE(D12:D13)</f>
        <v>5.3550000000000004</v>
      </c>
      <c r="K12" s="1">
        <f t="shared" ref="K12" si="15">AVERAGE(E12:E13)</f>
        <v>11.154999999999999</v>
      </c>
    </row>
    <row r="13" spans="1:11" x14ac:dyDescent="0.25">
      <c r="A13" s="1">
        <v>1000</v>
      </c>
      <c r="B13" s="1">
        <v>16.66</v>
      </c>
      <c r="C13" s="1">
        <v>0.06</v>
      </c>
      <c r="D13" s="1">
        <v>5.5</v>
      </c>
      <c r="E13" s="1">
        <v>11.11</v>
      </c>
    </row>
    <row r="14" spans="1:11" x14ac:dyDescent="0.25">
      <c r="A14" s="1">
        <v>1200</v>
      </c>
      <c r="B14" s="1">
        <v>16.75</v>
      </c>
      <c r="C14" s="1">
        <v>7.0000000000000007E-2</v>
      </c>
      <c r="D14" s="1">
        <v>8.8000000000000007</v>
      </c>
      <c r="E14" s="1">
        <v>7.88</v>
      </c>
      <c r="G14" s="1">
        <v>1200</v>
      </c>
      <c r="H14" s="1">
        <f>AVERAGE(B14:B15)</f>
        <v>16.685000000000002</v>
      </c>
      <c r="I14" s="1">
        <f t="shared" ref="I14" si="16">AVERAGE(C14:C15)</f>
        <v>6.5000000000000002E-2</v>
      </c>
      <c r="J14" s="1">
        <f t="shared" ref="J14" si="17">AVERAGE(D14:D15)</f>
        <v>7.2</v>
      </c>
      <c r="K14" s="1">
        <f t="shared" ref="K14" si="18">AVERAGE(E14:E15)</f>
        <v>9.4149999999999991</v>
      </c>
    </row>
    <row r="15" spans="1:11" x14ac:dyDescent="0.25">
      <c r="A15" s="1">
        <v>1200</v>
      </c>
      <c r="B15" s="1">
        <v>16.62</v>
      </c>
      <c r="C15" s="1">
        <v>0.06</v>
      </c>
      <c r="D15" s="1">
        <v>5.6</v>
      </c>
      <c r="E15" s="1">
        <v>10.95</v>
      </c>
    </row>
    <row r="16" spans="1:11" x14ac:dyDescent="0.25">
      <c r="A16" s="1">
        <v>1400</v>
      </c>
      <c r="B16" s="1">
        <v>16.68</v>
      </c>
      <c r="C16" s="1">
        <v>0.08</v>
      </c>
      <c r="D16" s="1">
        <v>7.39</v>
      </c>
      <c r="E16" s="1">
        <v>9.2200000000000006</v>
      </c>
      <c r="G16" s="1">
        <v>1400</v>
      </c>
      <c r="H16" s="1">
        <f>AVERAGE(B16:B17)</f>
        <v>16.625</v>
      </c>
      <c r="I16" s="1">
        <f t="shared" ref="I16" si="19">AVERAGE(C16:C17)</f>
        <v>9.5000000000000001E-2</v>
      </c>
      <c r="J16" s="1">
        <f t="shared" ref="J16" si="20">AVERAGE(D16:D17)</f>
        <v>7.1749999999999998</v>
      </c>
      <c r="K16" s="1">
        <f t="shared" ref="K16" si="21">AVERAGE(E16:E17)</f>
        <v>9.3650000000000002</v>
      </c>
    </row>
    <row r="17" spans="1:11" x14ac:dyDescent="0.25">
      <c r="A17" s="1">
        <v>1400</v>
      </c>
      <c r="B17" s="1">
        <v>16.57</v>
      </c>
      <c r="C17" s="1">
        <v>0.11</v>
      </c>
      <c r="D17" s="1">
        <v>6.96</v>
      </c>
      <c r="E17" s="1">
        <v>9.51</v>
      </c>
    </row>
    <row r="18" spans="1:11" x14ac:dyDescent="0.25">
      <c r="A18" s="1">
        <v>1600</v>
      </c>
      <c r="B18" s="1">
        <v>16.739999999999998</v>
      </c>
      <c r="C18" s="1">
        <v>0.09</v>
      </c>
      <c r="D18" s="1">
        <v>8.83</v>
      </c>
      <c r="E18" s="1">
        <v>7.81</v>
      </c>
      <c r="G18" s="1">
        <v>1600</v>
      </c>
      <c r="H18" s="1">
        <f>AVERAGE(B18:B19)</f>
        <v>16.850000000000001</v>
      </c>
      <c r="I18" s="1">
        <f t="shared" ref="I18" si="22">AVERAGE(C18:C19)</f>
        <v>9.5000000000000001E-2</v>
      </c>
      <c r="J18" s="1">
        <f t="shared" ref="J18" si="23">AVERAGE(D18:D19)</f>
        <v>8.6150000000000002</v>
      </c>
      <c r="K18" s="1">
        <f t="shared" ref="K18" si="24">AVERAGE(E18:E19)</f>
        <v>8.1349999999999998</v>
      </c>
    </row>
    <row r="19" spans="1:11" x14ac:dyDescent="0.25">
      <c r="A19" s="1">
        <v>1600</v>
      </c>
      <c r="B19" s="1">
        <v>16.96</v>
      </c>
      <c r="C19" s="1">
        <v>0.1</v>
      </c>
      <c r="D19" s="1">
        <v>8.4</v>
      </c>
      <c r="E19" s="1">
        <v>8.4600000000000009</v>
      </c>
    </row>
    <row r="20" spans="1:11" x14ac:dyDescent="0.25">
      <c r="A20" s="1">
        <v>1800</v>
      </c>
      <c r="B20" s="1">
        <v>16.690000000000001</v>
      </c>
      <c r="C20" s="1">
        <v>0.1</v>
      </c>
      <c r="D20" s="1">
        <v>10.79</v>
      </c>
      <c r="E20" s="1">
        <v>5.8</v>
      </c>
      <c r="G20" s="1">
        <v>1800</v>
      </c>
      <c r="H20" s="1">
        <f>AVERAGE(B20:B21)</f>
        <v>16.675000000000001</v>
      </c>
      <c r="I20" s="1">
        <f t="shared" ref="I20" si="25">AVERAGE(C20:C21)</f>
        <v>0.10500000000000001</v>
      </c>
      <c r="J20" s="1">
        <f t="shared" ref="J20" si="26">AVERAGE(D20:D21)</f>
        <v>9.6849999999999987</v>
      </c>
      <c r="K20" s="1">
        <f t="shared" ref="K20" si="27">AVERAGE(E20:E21)</f>
        <v>6.88</v>
      </c>
    </row>
    <row r="21" spans="1:11" x14ac:dyDescent="0.25">
      <c r="A21" s="1">
        <v>1800</v>
      </c>
      <c r="B21" s="1">
        <v>16.66</v>
      </c>
      <c r="C21" s="1">
        <v>0.11</v>
      </c>
      <c r="D21" s="1">
        <v>8.58</v>
      </c>
      <c r="E21" s="1">
        <v>7.96</v>
      </c>
    </row>
    <row r="22" spans="1:11" x14ac:dyDescent="0.25">
      <c r="A22" s="1">
        <v>2000</v>
      </c>
      <c r="B22" s="1">
        <v>17.14</v>
      </c>
      <c r="C22" s="1">
        <v>0.12</v>
      </c>
      <c r="D22" s="1">
        <v>9.42</v>
      </c>
      <c r="E22" s="1">
        <v>7.6</v>
      </c>
      <c r="G22" s="1">
        <v>2000</v>
      </c>
      <c r="H22" s="1">
        <f>AVERAGE(B22:B23)</f>
        <v>17.024999999999999</v>
      </c>
      <c r="I22" s="1">
        <f t="shared" ref="I22" si="28">AVERAGE(C22:C23)</f>
        <v>0.11499999999999999</v>
      </c>
      <c r="J22" s="1">
        <f t="shared" ref="J22" si="29">AVERAGE(D22:D23)</f>
        <v>10.365</v>
      </c>
      <c r="K22" s="1">
        <f t="shared" ref="K22" si="30">AVERAGE(E22:E23)</f>
        <v>6.5449999999999999</v>
      </c>
    </row>
    <row r="23" spans="1:11" x14ac:dyDescent="0.25">
      <c r="A23" s="1">
        <v>2000</v>
      </c>
      <c r="B23" s="1">
        <v>16.91</v>
      </c>
      <c r="C23" s="1">
        <v>0.11</v>
      </c>
      <c r="D23" s="1">
        <v>11.31</v>
      </c>
      <c r="E23" s="1">
        <v>5.49</v>
      </c>
    </row>
    <row r="24" spans="1:11" x14ac:dyDescent="0.25">
      <c r="A24" s="1">
        <v>2200</v>
      </c>
      <c r="B24" s="1">
        <v>16.91</v>
      </c>
      <c r="C24" s="1">
        <v>0.13</v>
      </c>
      <c r="D24" s="1">
        <v>11.19</v>
      </c>
      <c r="E24" s="1">
        <v>5.6</v>
      </c>
      <c r="G24" s="1">
        <v>2200</v>
      </c>
      <c r="H24" s="1">
        <f>AVERAGE(B24:B25)</f>
        <v>16.79</v>
      </c>
      <c r="I24" s="1">
        <f t="shared" ref="I24" si="31">AVERAGE(C24:C25)</f>
        <v>0.13</v>
      </c>
      <c r="J24" s="1">
        <f t="shared" ref="J24" si="32">AVERAGE(D24:D25)</f>
        <v>10.58</v>
      </c>
      <c r="K24" s="1">
        <f t="shared" ref="K24" si="33">AVERAGE(E24:E25)</f>
        <v>6.09</v>
      </c>
    </row>
    <row r="25" spans="1:11" x14ac:dyDescent="0.25">
      <c r="A25" s="1">
        <v>2200</v>
      </c>
      <c r="B25" s="1">
        <v>16.670000000000002</v>
      </c>
      <c r="C25" s="1">
        <v>0.13</v>
      </c>
      <c r="D25" s="1">
        <v>9.9700000000000006</v>
      </c>
      <c r="E25" s="1">
        <v>6.58</v>
      </c>
    </row>
    <row r="26" spans="1:11" x14ac:dyDescent="0.25">
      <c r="A26" s="1">
        <v>2400</v>
      </c>
      <c r="B26" s="1">
        <v>16.809999999999999</v>
      </c>
      <c r="C26" s="1">
        <v>0.13</v>
      </c>
      <c r="D26" s="1">
        <v>10.67</v>
      </c>
      <c r="E26" s="1">
        <v>6</v>
      </c>
      <c r="G26" s="1">
        <v>2400</v>
      </c>
      <c r="H26" s="1">
        <f>AVERAGE(B26:B27)</f>
        <v>16.68</v>
      </c>
      <c r="I26" s="1">
        <f t="shared" ref="I26" si="34">AVERAGE(C26:C27)</f>
        <v>0.16</v>
      </c>
      <c r="J26" s="1">
        <f t="shared" ref="J26" si="35">AVERAGE(D26:D27)</f>
        <v>11.125</v>
      </c>
      <c r="K26" s="1">
        <f t="shared" ref="K26" si="36">AVERAGE(E26:E27)</f>
        <v>5.3900000000000006</v>
      </c>
    </row>
    <row r="27" spans="1:11" x14ac:dyDescent="0.25">
      <c r="A27" s="1">
        <v>2400</v>
      </c>
      <c r="B27" s="1">
        <v>16.55</v>
      </c>
      <c r="C27" s="1">
        <v>0.19</v>
      </c>
      <c r="D27" s="1">
        <v>11.58</v>
      </c>
      <c r="E27" s="1">
        <v>4.78</v>
      </c>
    </row>
    <row r="28" spans="1:11" x14ac:dyDescent="0.25">
      <c r="A28" s="1">
        <v>2600</v>
      </c>
      <c r="B28" s="1">
        <v>17.059999999999999</v>
      </c>
      <c r="C28" s="1">
        <v>0.14000000000000001</v>
      </c>
      <c r="D28" s="1">
        <v>12.17</v>
      </c>
      <c r="E28" s="1">
        <v>4.76</v>
      </c>
      <c r="G28" s="1">
        <v>2600</v>
      </c>
      <c r="H28" s="1">
        <f>AVERAGE(B28:B29)</f>
        <v>16.86</v>
      </c>
      <c r="I28" s="1">
        <f t="shared" ref="I28" si="37">AVERAGE(C28:C29)</f>
        <v>0.14500000000000002</v>
      </c>
      <c r="J28" s="1">
        <f t="shared" ref="J28" si="38">AVERAGE(D28:D29)</f>
        <v>12.32</v>
      </c>
      <c r="K28" s="1">
        <f t="shared" ref="K28" si="39">AVERAGE(E28:E29)</f>
        <v>4.4000000000000004</v>
      </c>
    </row>
    <row r="29" spans="1:11" x14ac:dyDescent="0.25">
      <c r="A29" s="1">
        <v>2600</v>
      </c>
      <c r="B29" s="1">
        <v>16.66</v>
      </c>
      <c r="C29" s="1">
        <v>0.15</v>
      </c>
      <c r="D29" s="1">
        <v>12.47</v>
      </c>
      <c r="E29" s="1">
        <v>4.04</v>
      </c>
    </row>
    <row r="30" spans="1:11" x14ac:dyDescent="0.25">
      <c r="A30" s="1">
        <v>2800</v>
      </c>
      <c r="B30" s="1">
        <v>70.25</v>
      </c>
      <c r="C30" s="1">
        <v>0.2</v>
      </c>
      <c r="D30" s="1">
        <v>15</v>
      </c>
      <c r="E30" s="1">
        <v>55.05</v>
      </c>
      <c r="G30" s="1">
        <v>2800</v>
      </c>
      <c r="H30" s="1">
        <v>16.670000000000002</v>
      </c>
      <c r="I30" s="1">
        <v>0.18</v>
      </c>
      <c r="J30" s="1">
        <v>13.47</v>
      </c>
      <c r="K30" s="1">
        <v>3.02</v>
      </c>
    </row>
    <row r="31" spans="1:11" x14ac:dyDescent="0.25">
      <c r="A31" s="1">
        <v>2800</v>
      </c>
      <c r="B31" s="1">
        <v>16.670000000000002</v>
      </c>
      <c r="C31" s="1">
        <v>0.18</v>
      </c>
      <c r="D31" s="1">
        <v>13.47</v>
      </c>
      <c r="E31" s="1">
        <v>3.02</v>
      </c>
    </row>
    <row r="32" spans="1:11" x14ac:dyDescent="0.25">
      <c r="A32" s="1">
        <v>3000</v>
      </c>
      <c r="B32" s="1">
        <v>20.57</v>
      </c>
      <c r="C32" s="1">
        <v>0.19</v>
      </c>
      <c r="D32" s="1">
        <v>18.95</v>
      </c>
      <c r="E32" s="1">
        <v>1.43</v>
      </c>
      <c r="G32" s="1">
        <v>3000</v>
      </c>
      <c r="H32" s="1">
        <v>20.57</v>
      </c>
      <c r="I32" s="1">
        <v>0.19</v>
      </c>
      <c r="J32" s="1">
        <v>18.95</v>
      </c>
      <c r="K32" s="1">
        <v>1.43</v>
      </c>
    </row>
    <row r="33" spans="1:11" x14ac:dyDescent="0.25">
      <c r="A33" s="1">
        <v>3200</v>
      </c>
      <c r="B33" s="1">
        <v>22.63</v>
      </c>
      <c r="C33" s="1">
        <v>0.21</v>
      </c>
      <c r="D33" s="1">
        <v>21.17</v>
      </c>
      <c r="E33" s="1">
        <v>1.24</v>
      </c>
      <c r="G33" s="1">
        <v>3200</v>
      </c>
      <c r="H33" s="1">
        <f>AVERAGE(B33:B34)</f>
        <v>22.445</v>
      </c>
      <c r="I33" s="1">
        <f t="shared" ref="I33" si="40">AVERAGE(C33:C34)</f>
        <v>0.21</v>
      </c>
      <c r="J33" s="1">
        <f t="shared" ref="J33" si="41">AVERAGE(D33:D34)</f>
        <v>21</v>
      </c>
      <c r="K33" s="1">
        <f t="shared" ref="K33" si="42">AVERAGE(E33:E34)</f>
        <v>1.2250000000000001</v>
      </c>
    </row>
    <row r="34" spans="1:11" x14ac:dyDescent="0.25">
      <c r="A34" s="1">
        <v>3200</v>
      </c>
      <c r="B34" s="1">
        <v>22.26</v>
      </c>
      <c r="C34" s="1">
        <v>0.21</v>
      </c>
      <c r="D34" s="1">
        <v>20.83</v>
      </c>
      <c r="E34" s="1">
        <v>1.21</v>
      </c>
    </row>
    <row r="35" spans="1:11" x14ac:dyDescent="0.25">
      <c r="A35" s="1">
        <v>3400</v>
      </c>
      <c r="B35" s="1">
        <v>24.66</v>
      </c>
      <c r="C35" s="1">
        <v>0.22</v>
      </c>
      <c r="D35" s="1">
        <v>23.06</v>
      </c>
      <c r="E35" s="1">
        <v>1.38</v>
      </c>
      <c r="G35" s="1">
        <v>3400</v>
      </c>
      <c r="H35" s="1">
        <v>24.66</v>
      </c>
      <c r="I35" s="1">
        <v>0.22</v>
      </c>
      <c r="J35" s="1">
        <v>23.06</v>
      </c>
      <c r="K35" s="1">
        <v>1.38</v>
      </c>
    </row>
    <row r="36" spans="1:11" x14ac:dyDescent="0.25">
      <c r="A36" s="1">
        <v>3600</v>
      </c>
      <c r="B36" s="1">
        <v>27.71</v>
      </c>
      <c r="C36" s="1">
        <v>0.25</v>
      </c>
      <c r="D36" s="1">
        <v>26.11</v>
      </c>
      <c r="E36" s="1">
        <v>1.34</v>
      </c>
      <c r="G36" s="1">
        <v>3600</v>
      </c>
      <c r="H36" s="1">
        <v>27.71</v>
      </c>
      <c r="I36" s="1">
        <v>0.25</v>
      </c>
      <c r="J36" s="1">
        <v>26.11</v>
      </c>
      <c r="K36" s="1">
        <v>1.34</v>
      </c>
    </row>
    <row r="37" spans="1:11" x14ac:dyDescent="0.25">
      <c r="A37" s="1">
        <v>3800</v>
      </c>
      <c r="B37" s="1">
        <v>30.23</v>
      </c>
      <c r="C37" s="1">
        <v>0.26</v>
      </c>
      <c r="D37" s="1">
        <v>28.57</v>
      </c>
      <c r="E37" s="1">
        <v>1.4</v>
      </c>
      <c r="G37" s="1">
        <v>3800</v>
      </c>
      <c r="H37" s="1">
        <v>30.23</v>
      </c>
      <c r="I37" s="1">
        <v>0.26</v>
      </c>
      <c r="J37" s="1">
        <v>28.57</v>
      </c>
      <c r="K37" s="1">
        <v>1.4</v>
      </c>
    </row>
    <row r="38" spans="1:11" x14ac:dyDescent="0.25">
      <c r="A38" s="1">
        <v>4000</v>
      </c>
      <c r="B38" s="1">
        <v>34.39</v>
      </c>
      <c r="C38" s="1">
        <v>0.28999999999999998</v>
      </c>
      <c r="D38" s="1">
        <v>32.659999999999997</v>
      </c>
      <c r="E38" s="1">
        <v>1.44</v>
      </c>
      <c r="G38" s="1">
        <v>4000</v>
      </c>
      <c r="H38" s="1">
        <v>34.39</v>
      </c>
      <c r="I38" s="1">
        <v>0.28999999999999998</v>
      </c>
      <c r="J38" s="1">
        <v>32.659999999999997</v>
      </c>
      <c r="K38" s="1">
        <v>1.44</v>
      </c>
    </row>
    <row r="39" spans="1:11" x14ac:dyDescent="0.25">
      <c r="A39" s="1">
        <v>4200</v>
      </c>
      <c r="B39" s="1">
        <v>36.619999999999997</v>
      </c>
      <c r="C39" s="1">
        <v>0.28999999999999998</v>
      </c>
      <c r="D39" s="1">
        <v>34.85</v>
      </c>
      <c r="E39" s="1">
        <v>1.48</v>
      </c>
      <c r="G39" s="1">
        <v>4200</v>
      </c>
      <c r="H39" s="1">
        <v>36.619999999999997</v>
      </c>
      <c r="I39" s="1">
        <v>0.28999999999999998</v>
      </c>
      <c r="J39" s="1">
        <v>34.85</v>
      </c>
      <c r="K39" s="1">
        <v>1.48</v>
      </c>
    </row>
    <row r="40" spans="1:11" x14ac:dyDescent="0.25">
      <c r="A40" s="1">
        <v>4400</v>
      </c>
      <c r="B40" s="1">
        <v>43.92</v>
      </c>
      <c r="C40" s="1">
        <v>0.3</v>
      </c>
      <c r="D40" s="1">
        <v>41.94</v>
      </c>
      <c r="E40" s="1">
        <v>1.68</v>
      </c>
      <c r="G40" s="1">
        <v>4400</v>
      </c>
      <c r="H40" s="1">
        <v>43.92</v>
      </c>
      <c r="I40" s="1">
        <v>0.3</v>
      </c>
      <c r="J40" s="1">
        <v>41.94</v>
      </c>
      <c r="K40" s="1">
        <v>1.68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Singlethread</vt:lpstr>
      <vt:lpstr>Multithread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hanhylee@student.ubc.ca</dc:creator>
  <cp:lastModifiedBy>hanhylee@student.ubc.ca</cp:lastModifiedBy>
  <dcterms:created xsi:type="dcterms:W3CDTF">2026-05-19T04:01:15Z</dcterms:created>
  <dcterms:modified xsi:type="dcterms:W3CDTF">2026-05-19T05:10:26Z</dcterms:modified>
</cp:coreProperties>
</file>